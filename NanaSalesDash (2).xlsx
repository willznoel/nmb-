
<file path=[Content_Types].xml><?xml version="1.0" encoding="utf-8"?>
<Types xmlns="http://schemas.openxmlformats.org/package/2006/content-types">
  <Default Extension="bin" ContentType="application/vnd.openxmlformats-officedocument.spreadsheetml.printerSettings"/>
  <Default Extension="jfif"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_1\Downloads\"/>
    </mc:Choice>
  </mc:AlternateContent>
  <xr:revisionPtr revIDLastSave="0" documentId="13_ncr:1_{07E863B4-A531-40C2-8291-9B6010972457}" xr6:coauthVersionLast="47" xr6:coauthVersionMax="47" xr10:uidLastSave="{00000000-0000-0000-0000-000000000000}"/>
  <bookViews>
    <workbookView xWindow="-108" yWindow="-108" windowWidth="23256" windowHeight="12576" firstSheet="2" activeTab="4" xr2:uid="{8EF8AC24-7DE8-4383-99F5-3A777DAE6CFC}"/>
  </bookViews>
  <sheets>
    <sheet name="PriceTable" sheetId="1" r:id="rId1"/>
    <sheet name="Sales" sheetId="2" r:id="rId2"/>
    <sheet name="Q1SALES2026" sheetId="6" r:id="rId3"/>
    <sheet name="Pivot Tables" sheetId="3" r:id="rId4"/>
    <sheet name="Q1EXPENSES" sheetId="7" r:id="rId5"/>
    <sheet name="Dasboard" sheetId="4" r:id="rId6"/>
    <sheet name="Executive Summary" sheetId="5" r:id="rId7"/>
  </sheets>
  <definedNames>
    <definedName name="_xlnm._FilterDatabase" localSheetId="2" hidden="1">Q1SALES2026!$A$1:$I$1</definedName>
    <definedName name="Slicer_Month">#N/A</definedName>
  </definedNames>
  <calcPr calcId="181029"/>
  <pivotCaches>
    <pivotCache cacheId="0" r:id="rId8"/>
    <pivotCache cacheId="1"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7" l="1"/>
  <c r="H2" i="7"/>
  <c r="D92" i="7"/>
  <c r="D93" i="7"/>
  <c r="D94" i="7"/>
  <c r="D95" i="7"/>
  <c r="D96" i="7"/>
  <c r="D97" i="7"/>
  <c r="D98" i="7"/>
  <c r="D99" i="7"/>
  <c r="D100" i="7"/>
  <c r="D101" i="7"/>
  <c r="D102" i="7"/>
  <c r="D103" i="7"/>
  <c r="D104" i="7"/>
  <c r="D105" i="7"/>
  <c r="D106" i="7"/>
  <c r="D107" i="7"/>
  <c r="D108" i="7"/>
  <c r="D73" i="7"/>
  <c r="D74" i="7"/>
  <c r="D75" i="7"/>
  <c r="D76" i="7"/>
  <c r="D77" i="7"/>
  <c r="D78" i="7"/>
  <c r="D79" i="7"/>
  <c r="D80" i="7"/>
  <c r="D81" i="7"/>
  <c r="D82" i="7"/>
  <c r="D83" i="7"/>
  <c r="D84" i="7"/>
  <c r="D85" i="7"/>
  <c r="D86" i="7"/>
  <c r="D87" i="7"/>
  <c r="D88" i="7"/>
  <c r="D89" i="7"/>
  <c r="D90" i="7"/>
  <c r="D91" i="7"/>
  <c r="D51" i="7"/>
  <c r="D52" i="7"/>
  <c r="D53" i="7"/>
  <c r="D54" i="7"/>
  <c r="D55" i="7"/>
  <c r="D56" i="7"/>
  <c r="D57" i="7"/>
  <c r="D58" i="7"/>
  <c r="D59" i="7"/>
  <c r="D60" i="7"/>
  <c r="D61" i="7"/>
  <c r="D62" i="7"/>
  <c r="D63" i="7"/>
  <c r="D64" i="7"/>
  <c r="D65" i="7"/>
  <c r="D66" i="7"/>
  <c r="D67" i="7"/>
  <c r="D68" i="7"/>
  <c r="D69" i="7"/>
  <c r="D70" i="7"/>
  <c r="D71" i="7"/>
  <c r="D72" i="7"/>
  <c r="D26" i="7"/>
  <c r="D27" i="7"/>
  <c r="D28" i="7"/>
  <c r="D29" i="7"/>
  <c r="D30" i="7"/>
  <c r="D31" i="7"/>
  <c r="D32" i="7"/>
  <c r="D33" i="7"/>
  <c r="D34" i="7"/>
  <c r="D35" i="7"/>
  <c r="D36" i="7"/>
  <c r="D37" i="7"/>
  <c r="D38" i="7"/>
  <c r="D39" i="7"/>
  <c r="D40" i="7"/>
  <c r="D41" i="7"/>
  <c r="D42" i="7"/>
  <c r="D43" i="7"/>
  <c r="D44" i="7"/>
  <c r="D45" i="7"/>
  <c r="D46" i="7"/>
  <c r="D47" i="7"/>
  <c r="D48" i="7"/>
  <c r="D49" i="7"/>
  <c r="D50" i="7"/>
  <c r="D22" i="7"/>
  <c r="D23" i="7"/>
  <c r="D24" i="7"/>
  <c r="D25" i="7"/>
  <c r="D17" i="7"/>
  <c r="D18" i="7"/>
  <c r="D19" i="7"/>
  <c r="D20" i="7"/>
  <c r="D21" i="7"/>
  <c r="D14" i="7"/>
  <c r="D15" i="7"/>
  <c r="D16" i="7"/>
  <c r="D13" i="7"/>
  <c r="D11" i="7"/>
  <c r="D12" i="7"/>
  <c r="D7" i="7"/>
  <c r="D8" i="7"/>
  <c r="D9" i="7"/>
  <c r="D10" i="7"/>
  <c r="D6" i="7"/>
  <c r="D5" i="7"/>
  <c r="D3" i="7"/>
  <c r="D4" i="7"/>
  <c r="D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2" i="7"/>
  <c r="C4" i="6"/>
  <c r="E320" i="6"/>
  <c r="E321" i="6"/>
  <c r="E322" i="6"/>
  <c r="E319" i="6"/>
  <c r="E317" i="6"/>
  <c r="E316" i="6"/>
  <c r="E311" i="6"/>
  <c r="E312" i="6"/>
  <c r="E313" i="6"/>
  <c r="E314" i="6"/>
  <c r="E310" i="6"/>
  <c r="E289" i="6"/>
  <c r="E290" i="6"/>
  <c r="E291" i="6"/>
  <c r="E292" i="6"/>
  <c r="E293" i="6"/>
  <c r="E294" i="6"/>
  <c r="E295" i="6"/>
  <c r="E296" i="6"/>
  <c r="E297" i="6"/>
  <c r="E298" i="6"/>
  <c r="E299" i="6"/>
  <c r="E300" i="6"/>
  <c r="E301" i="6"/>
  <c r="E302" i="6"/>
  <c r="E303" i="6"/>
  <c r="E304" i="6"/>
  <c r="E305" i="6"/>
  <c r="E306" i="6"/>
  <c r="E307" i="6"/>
  <c r="E308" i="6"/>
  <c r="E288" i="6"/>
  <c r="E284" i="6"/>
  <c r="E285" i="6"/>
  <c r="E286" i="6"/>
  <c r="E283" i="6"/>
  <c r="E279" i="6"/>
  <c r="E280" i="6"/>
  <c r="E281" i="6"/>
  <c r="E278" i="6"/>
  <c r="E269" i="6"/>
  <c r="E270" i="6"/>
  <c r="E271" i="6"/>
  <c r="E272" i="6"/>
  <c r="E273" i="6"/>
  <c r="E274" i="6"/>
  <c r="E275" i="6"/>
  <c r="E276" i="6"/>
  <c r="E252" i="6"/>
  <c r="E253" i="6"/>
  <c r="E254" i="6"/>
  <c r="E255" i="6"/>
  <c r="E256" i="6"/>
  <c r="E257" i="6"/>
  <c r="E258" i="6"/>
  <c r="E259" i="6"/>
  <c r="E260" i="6"/>
  <c r="E261" i="6"/>
  <c r="E263" i="6"/>
  <c r="E264" i="6"/>
  <c r="E265" i="6"/>
  <c r="E266" i="6"/>
  <c r="E267" i="6"/>
  <c r="E268" i="6"/>
  <c r="E251" i="6"/>
  <c r="E233" i="6"/>
  <c r="E234" i="6"/>
  <c r="E235" i="6"/>
  <c r="E236" i="6"/>
  <c r="E238" i="6"/>
  <c r="E239" i="6"/>
  <c r="E240" i="6"/>
  <c r="E241" i="6"/>
  <c r="E242" i="6"/>
  <c r="E243" i="6"/>
  <c r="E244" i="6"/>
  <c r="E245" i="6"/>
  <c r="E246" i="6"/>
  <c r="E247" i="6"/>
  <c r="E248" i="6"/>
  <c r="E249" i="6"/>
  <c r="E231" i="6"/>
  <c r="C323" i="6"/>
  <c r="C322" i="6"/>
  <c r="C321" i="6"/>
  <c r="C320" i="6"/>
  <c r="C319" i="6"/>
  <c r="C318" i="6"/>
  <c r="C317" i="6"/>
  <c r="C316" i="6"/>
  <c r="C315" i="6"/>
  <c r="C314" i="6"/>
  <c r="C313" i="6"/>
  <c r="C312" i="6"/>
  <c r="C311" i="6"/>
  <c r="C310" i="6"/>
  <c r="C309" i="6"/>
  <c r="C308" i="6"/>
  <c r="C307" i="6"/>
  <c r="C306" i="6"/>
  <c r="C305" i="6"/>
  <c r="C304" i="6"/>
  <c r="C303" i="6"/>
  <c r="C302" i="6"/>
  <c r="C301" i="6"/>
  <c r="C300" i="6"/>
  <c r="C299" i="6"/>
  <c r="C298" i="6"/>
  <c r="C297" i="6"/>
  <c r="C296" i="6"/>
  <c r="C295" i="6"/>
  <c r="C294" i="6"/>
  <c r="C293" i="6"/>
  <c r="C292" i="6"/>
  <c r="C291" i="6"/>
  <c r="C290" i="6"/>
  <c r="C289" i="6"/>
  <c r="C288" i="6"/>
  <c r="C287" i="6"/>
  <c r="C286" i="6"/>
  <c r="C285" i="6"/>
  <c r="C284" i="6"/>
  <c r="C283" i="6"/>
  <c r="C282" i="6"/>
  <c r="C281" i="6"/>
  <c r="C280" i="6"/>
  <c r="C279" i="6"/>
  <c r="C278" i="6"/>
  <c r="C277" i="6"/>
  <c r="C276" i="6"/>
  <c r="C275" i="6"/>
  <c r="C274" i="6"/>
  <c r="C273" i="6"/>
  <c r="C272" i="6"/>
  <c r="C271" i="6"/>
  <c r="C270" i="6"/>
  <c r="C269" i="6"/>
  <c r="C268" i="6"/>
  <c r="C267" i="6"/>
  <c r="C266" i="6"/>
  <c r="C265" i="6"/>
  <c r="C264" i="6"/>
  <c r="C263" i="6"/>
  <c r="C262" i="6"/>
  <c r="C261" i="6"/>
  <c r="C260" i="6"/>
  <c r="C259" i="6"/>
  <c r="C258" i="6"/>
  <c r="C257" i="6"/>
  <c r="C256" i="6"/>
  <c r="C255" i="6"/>
  <c r="C254" i="6"/>
  <c r="C253" i="6"/>
  <c r="C252" i="6"/>
  <c r="C251" i="6"/>
  <c r="C250" i="6"/>
  <c r="C249" i="6"/>
  <c r="C248" i="6"/>
  <c r="C247" i="6"/>
  <c r="C246" i="6"/>
  <c r="C245" i="6"/>
  <c r="C244" i="6"/>
  <c r="C243" i="6"/>
  <c r="E228" i="6"/>
  <c r="E229" i="6"/>
  <c r="E230" i="6"/>
  <c r="C242" i="6"/>
  <c r="C241" i="6"/>
  <c r="C240" i="6"/>
  <c r="C239" i="6"/>
  <c r="C238" i="6"/>
  <c r="C237" i="6"/>
  <c r="C236" i="6"/>
  <c r="C235" i="6"/>
  <c r="C234" i="6"/>
  <c r="C233" i="6"/>
  <c r="C232" i="6"/>
  <c r="C231" i="6"/>
  <c r="C230" i="6"/>
  <c r="C229" i="6"/>
  <c r="C228" i="6"/>
  <c r="E152" i="2"/>
  <c r="E160" i="2"/>
  <c r="E183" i="2"/>
  <c r="E187" i="2"/>
  <c r="E208" i="2"/>
  <c r="E217" i="2"/>
  <c r="E226" i="2"/>
  <c r="E19" i="2"/>
  <c r="E18" i="2"/>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198" i="6"/>
  <c r="E191" i="6"/>
  <c r="E192" i="6"/>
  <c r="E193" i="6"/>
  <c r="E194" i="6"/>
  <c r="E195" i="6"/>
  <c r="E196" i="6"/>
  <c r="E190" i="6"/>
  <c r="E176" i="6"/>
  <c r="E177" i="6"/>
  <c r="E178" i="6"/>
  <c r="E179" i="6"/>
  <c r="E180" i="6"/>
  <c r="E181" i="6"/>
  <c r="E182" i="6"/>
  <c r="E183" i="6"/>
  <c r="E184" i="6"/>
  <c r="E185" i="6"/>
  <c r="E186" i="6"/>
  <c r="E187" i="6"/>
  <c r="E175" i="6"/>
  <c r="E171" i="6"/>
  <c r="E172" i="6"/>
  <c r="E173" i="6"/>
  <c r="E170" i="6"/>
  <c r="E165" i="6"/>
  <c r="E166" i="6"/>
  <c r="E167" i="6"/>
  <c r="E168" i="6"/>
  <c r="E162"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3" i="6"/>
  <c r="E135" i="6"/>
  <c r="E133" i="6"/>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2" i="6"/>
  <c r="C227" i="6"/>
  <c r="C226" i="6"/>
  <c r="C225" i="6"/>
  <c r="C224" i="6"/>
  <c r="C223" i="6"/>
  <c r="C222" i="6"/>
  <c r="C221" i="6"/>
  <c r="C220" i="6"/>
  <c r="C219" i="6"/>
  <c r="C218" i="6"/>
  <c r="C217" i="6"/>
  <c r="C216" i="6"/>
  <c r="C215" i="6"/>
  <c r="C214" i="6"/>
  <c r="C213" i="6"/>
  <c r="C212" i="6"/>
  <c r="C211" i="6"/>
  <c r="C210" i="6"/>
  <c r="C209" i="6"/>
  <c r="C208" i="6"/>
  <c r="C207" i="6"/>
  <c r="C206" i="6"/>
  <c r="C205" i="6"/>
  <c r="C204" i="6"/>
  <c r="C203" i="6"/>
  <c r="C202" i="6"/>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E2" i="2"/>
  <c r="C3"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2" i="6"/>
  <c r="C10" i="2"/>
  <c r="C209" i="2"/>
  <c r="E209" i="2"/>
  <c r="E228" i="2"/>
  <c r="E227" i="2"/>
  <c r="C227" i="2"/>
  <c r="E3" i="2"/>
  <c r="E4" i="2"/>
  <c r="E5" i="2"/>
  <c r="E6" i="2"/>
  <c r="E7" i="2"/>
  <c r="E8" i="2"/>
  <c r="E9" i="2"/>
  <c r="E10" i="2"/>
  <c r="E11" i="2"/>
  <c r="E12" i="2"/>
  <c r="E13" i="2"/>
  <c r="E14" i="2"/>
  <c r="E15" i="2"/>
  <c r="E16" i="2"/>
  <c r="E17"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3" i="2"/>
  <c r="E154" i="2"/>
  <c r="E155" i="2"/>
  <c r="E156" i="2"/>
  <c r="E157" i="2"/>
  <c r="E158" i="2"/>
  <c r="E159" i="2"/>
  <c r="E161" i="2"/>
  <c r="E162" i="2"/>
  <c r="E163" i="2"/>
  <c r="E164" i="2"/>
  <c r="E165" i="2"/>
  <c r="E166" i="2"/>
  <c r="E167" i="2"/>
  <c r="E168" i="2"/>
  <c r="E169" i="2"/>
  <c r="E170" i="2"/>
  <c r="E171" i="2"/>
  <c r="E172" i="2"/>
  <c r="E173" i="2"/>
  <c r="E174" i="2"/>
  <c r="E175" i="2"/>
  <c r="E176" i="2"/>
  <c r="E177" i="2"/>
  <c r="E178" i="2"/>
  <c r="E179" i="2"/>
  <c r="E180" i="2"/>
  <c r="E181" i="2"/>
  <c r="E182" i="2"/>
  <c r="E184" i="2"/>
  <c r="E185" i="2"/>
  <c r="E186" i="2"/>
  <c r="E188" i="2"/>
  <c r="E189" i="2"/>
  <c r="E190" i="2"/>
  <c r="E191" i="2"/>
  <c r="E192" i="2"/>
  <c r="E193" i="2"/>
  <c r="E194" i="2"/>
  <c r="E195" i="2"/>
  <c r="E196" i="2"/>
  <c r="E197" i="2"/>
  <c r="E198" i="2"/>
  <c r="E199" i="2"/>
  <c r="E200" i="2"/>
  <c r="E201" i="2"/>
  <c r="E202" i="2"/>
  <c r="E203" i="2"/>
  <c r="E204" i="2"/>
  <c r="E205" i="2"/>
  <c r="E206" i="2"/>
  <c r="E207" i="2"/>
  <c r="E210" i="2"/>
  <c r="E211" i="2"/>
  <c r="E212" i="2"/>
  <c r="E213" i="2"/>
  <c r="E214" i="2"/>
  <c r="E215" i="2"/>
  <c r="E216" i="2"/>
  <c r="E218" i="2"/>
  <c r="E219" i="2"/>
  <c r="E220" i="2"/>
  <c r="E221" i="2"/>
  <c r="E222" i="2"/>
  <c r="E223" i="2"/>
  <c r="E224" i="2"/>
  <c r="E225" i="2"/>
  <c r="C226" i="2"/>
  <c r="C225" i="2"/>
  <c r="C224" i="2"/>
  <c r="C223" i="2"/>
  <c r="C222" i="2"/>
  <c r="C221" i="2"/>
  <c r="C220" i="2"/>
  <c r="C219" i="2"/>
  <c r="C218" i="2"/>
  <c r="C217" i="2"/>
  <c r="C216" i="2"/>
  <c r="C215" i="2"/>
  <c r="C214" i="2"/>
  <c r="C213" i="2"/>
  <c r="C212" i="2"/>
  <c r="C211" i="2"/>
  <c r="C210"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6" i="2"/>
  <c r="C167" i="2"/>
  <c r="C168" i="2"/>
  <c r="C165" i="2"/>
  <c r="C162" i="2"/>
  <c r="C163" i="2"/>
  <c r="C164"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17" i="2"/>
  <c r="C118" i="2"/>
  <c r="C119" i="2"/>
  <c r="C120" i="2"/>
  <c r="C121" i="2"/>
  <c r="C105" i="2"/>
  <c r="C106" i="2"/>
  <c r="C107" i="2"/>
  <c r="C108" i="2"/>
  <c r="C109" i="2"/>
  <c r="C110" i="2"/>
  <c r="C111" i="2"/>
  <c r="C112" i="2"/>
  <c r="C113" i="2"/>
  <c r="C114" i="2"/>
  <c r="C115" i="2"/>
  <c r="C116" i="2"/>
  <c r="C94" i="2"/>
  <c r="C95" i="2"/>
  <c r="C96" i="2"/>
  <c r="C97" i="2"/>
  <c r="C98" i="2"/>
  <c r="C99" i="2"/>
  <c r="C100" i="2"/>
  <c r="C101" i="2"/>
  <c r="C102" i="2"/>
  <c r="C103" i="2"/>
  <c r="C104" i="2"/>
  <c r="C85" i="2"/>
  <c r="C86" i="2"/>
  <c r="C87" i="2"/>
  <c r="C88" i="2"/>
  <c r="C89" i="2"/>
  <c r="C90" i="2"/>
  <c r="C91" i="2"/>
  <c r="C92" i="2"/>
  <c r="C93" i="2"/>
  <c r="C80" i="2"/>
  <c r="C81" i="2"/>
  <c r="C82" i="2"/>
  <c r="C83" i="2"/>
  <c r="C84" i="2"/>
  <c r="C69" i="2"/>
  <c r="C70" i="2"/>
  <c r="C71" i="2"/>
  <c r="C72" i="2"/>
  <c r="C73" i="2"/>
  <c r="C74" i="2"/>
  <c r="C75" i="2"/>
  <c r="C76" i="2"/>
  <c r="C77" i="2"/>
  <c r="C78" i="2"/>
  <c r="C79" i="2"/>
  <c r="C57" i="2"/>
  <c r="C58" i="2"/>
  <c r="C59" i="2"/>
  <c r="C60" i="2"/>
  <c r="C61" i="2"/>
  <c r="C62" i="2"/>
  <c r="C63" i="2"/>
  <c r="C64" i="2"/>
  <c r="C65" i="2"/>
  <c r="C66" i="2"/>
  <c r="C67" i="2"/>
  <c r="C68" i="2"/>
  <c r="C46" i="2"/>
  <c r="C47" i="2"/>
  <c r="C48" i="2"/>
  <c r="C49" i="2"/>
  <c r="C50" i="2"/>
  <c r="C51" i="2"/>
  <c r="C52" i="2"/>
  <c r="C53" i="2"/>
  <c r="C54" i="2"/>
  <c r="C55" i="2"/>
  <c r="C56" i="2"/>
  <c r="C35" i="2"/>
  <c r="C36" i="2"/>
  <c r="C37" i="2"/>
  <c r="C38" i="2"/>
  <c r="C39" i="2"/>
  <c r="C40" i="2"/>
  <c r="C41" i="2"/>
  <c r="C42" i="2"/>
  <c r="C43" i="2"/>
  <c r="C44" i="2"/>
  <c r="C45" i="2"/>
  <c r="C26" i="2"/>
  <c r="C27" i="2"/>
  <c r="C28" i="2"/>
  <c r="C29" i="2"/>
  <c r="C30" i="2"/>
  <c r="C31" i="2"/>
  <c r="C32" i="2"/>
  <c r="C33" i="2"/>
  <c r="C34" i="2"/>
  <c r="C17" i="2"/>
  <c r="C18" i="2"/>
  <c r="C19" i="2"/>
  <c r="C20" i="2"/>
  <c r="C21" i="2"/>
  <c r="C22" i="2"/>
  <c r="C23" i="2"/>
  <c r="C24" i="2"/>
  <c r="C25" i="2"/>
  <c r="C9" i="2"/>
  <c r="C11" i="2"/>
  <c r="C12" i="2"/>
  <c r="C13" i="2"/>
  <c r="C14" i="2"/>
  <c r="C15" i="2"/>
  <c r="C16" i="2"/>
  <c r="C3" i="2"/>
  <c r="C4" i="2"/>
  <c r="C5" i="2"/>
  <c r="C6" i="2"/>
  <c r="C7" i="2"/>
  <c r="C8" i="2"/>
  <c r="C2" i="2"/>
  <c r="I3" i="6" l="1"/>
  <c r="I4" i="6"/>
  <c r="I2" i="6"/>
  <c r="L9" i="2"/>
  <c r="L11" i="2"/>
  <c r="L10" i="2"/>
  <c r="F2" i="2"/>
  <c r="I5" i="6" l="1"/>
  <c r="N10" i="2"/>
</calcChain>
</file>

<file path=xl/sharedStrings.xml><?xml version="1.0" encoding="utf-8"?>
<sst xmlns="http://schemas.openxmlformats.org/spreadsheetml/2006/main" count="825" uniqueCount="169">
  <si>
    <t>Product</t>
  </si>
  <si>
    <t>Unit Price</t>
  </si>
  <si>
    <t>Coffee soap</t>
  </si>
  <si>
    <t>Coffee scrub</t>
  </si>
  <si>
    <t>Watermelon scrub</t>
  </si>
  <si>
    <t>Turmeric &amp; honey soap (T&amp;H)</t>
  </si>
  <si>
    <t>Charcoal soap</t>
  </si>
  <si>
    <t>Oatmeal soap</t>
  </si>
  <si>
    <t>Carrot oil small</t>
  </si>
  <si>
    <t>Carrot oil big</t>
  </si>
  <si>
    <t>Body lotion</t>
  </si>
  <si>
    <t>Lip butter</t>
  </si>
  <si>
    <t>Hand lotion</t>
  </si>
  <si>
    <t>Face mist</t>
  </si>
  <si>
    <t>Face mask</t>
  </si>
  <si>
    <t>Vikoi</t>
  </si>
  <si>
    <t>Face roller</t>
  </si>
  <si>
    <t>Gua sha</t>
  </si>
  <si>
    <t>Date</t>
  </si>
  <si>
    <t>Units Sold</t>
  </si>
  <si>
    <t>Coffee Scrub</t>
  </si>
  <si>
    <t>Candle</t>
  </si>
  <si>
    <t>Carrot Oil Small</t>
  </si>
  <si>
    <t>Coffee Soap</t>
  </si>
  <si>
    <t>Body Butter</t>
  </si>
  <si>
    <t>Body Lotion</t>
  </si>
  <si>
    <t>Beard Oil</t>
  </si>
  <si>
    <t>Lip Butter</t>
  </si>
  <si>
    <t>Body Polish</t>
  </si>
  <si>
    <t>Jiwe</t>
  </si>
  <si>
    <t>Charcoal Soap</t>
  </si>
  <si>
    <t>Essential Oil</t>
  </si>
  <si>
    <t>Face Mask</t>
  </si>
  <si>
    <t>Body Mist</t>
  </si>
  <si>
    <t>Body Wash</t>
  </si>
  <si>
    <t>Hand Lotion</t>
  </si>
  <si>
    <t>Face Mist</t>
  </si>
  <si>
    <t>Revenue</t>
  </si>
  <si>
    <t>Coffee Soap Small</t>
  </si>
  <si>
    <t>soap dish</t>
  </si>
  <si>
    <t>Month</t>
  </si>
  <si>
    <t>Row Labels</t>
  </si>
  <si>
    <t>Grand Total</t>
  </si>
  <si>
    <t>Sum of Units Sold</t>
  </si>
  <si>
    <t>Sum of Revenue</t>
  </si>
  <si>
    <t>Beard wash</t>
  </si>
  <si>
    <t>Shea Butter</t>
  </si>
  <si>
    <t>Hair Oil</t>
  </si>
  <si>
    <t>Coffee Rose</t>
  </si>
  <si>
    <t>Coffee Small Soap</t>
  </si>
  <si>
    <t>Dec</t>
  </si>
  <si>
    <t>Column1</t>
  </si>
  <si>
    <t>oct revenue</t>
  </si>
  <si>
    <t>nov revenue</t>
  </si>
  <si>
    <t>dec revenue</t>
  </si>
  <si>
    <t>total revenue</t>
  </si>
  <si>
    <t>Oct</t>
  </si>
  <si>
    <t>Nov</t>
  </si>
  <si>
    <t>Tray</t>
  </si>
  <si>
    <t>Coffee Bar</t>
  </si>
  <si>
    <t>Body butter</t>
  </si>
  <si>
    <t>Coffee Heart</t>
  </si>
  <si>
    <t>lip butter</t>
  </si>
  <si>
    <t>laptop bag</t>
  </si>
  <si>
    <t>Coffee rose</t>
  </si>
  <si>
    <t>Body wash</t>
  </si>
  <si>
    <t>Beard oil</t>
  </si>
  <si>
    <t>Earrings</t>
  </si>
  <si>
    <t>Dry Brush</t>
  </si>
  <si>
    <t xml:space="preserve">Watermelon </t>
  </si>
  <si>
    <t>Watermelon</t>
  </si>
  <si>
    <t>Lounge Tote</t>
  </si>
  <si>
    <t>Big Carpet</t>
  </si>
  <si>
    <t>Bath Set</t>
  </si>
  <si>
    <t>Body mist</t>
  </si>
  <si>
    <t>Bath set</t>
  </si>
  <si>
    <t>Charcoal rose</t>
  </si>
  <si>
    <t>Body polish</t>
  </si>
  <si>
    <t>Coffee Soap small</t>
  </si>
  <si>
    <t>Oatmeal Soap</t>
  </si>
  <si>
    <t>Gloves</t>
  </si>
  <si>
    <t>Turmeric &amp; honey rose (T&amp;H)</t>
  </si>
  <si>
    <t>Carpet</t>
  </si>
  <si>
    <t>Wash bag</t>
  </si>
  <si>
    <t>Bag Made</t>
  </si>
  <si>
    <t>Glasses</t>
  </si>
  <si>
    <t>Jan</t>
  </si>
  <si>
    <t>Feb</t>
  </si>
  <si>
    <t>March</t>
  </si>
  <si>
    <t>Charcoal Heart</t>
  </si>
  <si>
    <t>Lip Gloss</t>
  </si>
  <si>
    <t>2025 q4</t>
  </si>
  <si>
    <t>2026 Q1</t>
  </si>
  <si>
    <t>TOP 5 SELLING ITEMS</t>
  </si>
  <si>
    <t>Mar</t>
  </si>
  <si>
    <t>TOP 5 REVENUE products</t>
  </si>
  <si>
    <t>(SALES)</t>
  </si>
  <si>
    <t>Item</t>
  </si>
  <si>
    <t>Category</t>
  </si>
  <si>
    <t>Amount</t>
  </si>
  <si>
    <t>Luku</t>
  </si>
  <si>
    <t xml:space="preserve">Abel </t>
  </si>
  <si>
    <t>Packaging</t>
  </si>
  <si>
    <t>Dawa</t>
  </si>
  <si>
    <t>Olive Oil &amp; Nana</t>
  </si>
  <si>
    <t>Moper Set</t>
  </si>
  <si>
    <t>Liquid Soap</t>
  </si>
  <si>
    <t>Lunch</t>
  </si>
  <si>
    <t>Tithe</t>
  </si>
  <si>
    <t>Nana</t>
  </si>
  <si>
    <t>Toilet Brush</t>
  </si>
  <si>
    <t>Mahindi Mabichi</t>
  </si>
  <si>
    <t>Nancy CRDB</t>
  </si>
  <si>
    <t>Butter Bim</t>
  </si>
  <si>
    <t>Caustic &amp; Transport</t>
  </si>
  <si>
    <t xml:space="preserve">Fragrance Oils </t>
  </si>
  <si>
    <t>Maji</t>
  </si>
  <si>
    <t>Tumetuma Salim Ally</t>
  </si>
  <si>
    <t>Vigo Pazia</t>
  </si>
  <si>
    <t>Abel Bim</t>
  </si>
  <si>
    <t>Sticker</t>
  </si>
  <si>
    <t>Nancy</t>
  </si>
  <si>
    <t>Nancy Sadaka</t>
  </si>
  <si>
    <t>Nancy Unga</t>
  </si>
  <si>
    <t>Abel</t>
  </si>
  <si>
    <t>Abel (maji&amp; lulu &amp; package)</t>
  </si>
  <si>
    <t>Abel Sokon</t>
  </si>
  <si>
    <t>Lunch Nancy</t>
  </si>
  <si>
    <t>Abel (Carpet)</t>
  </si>
  <si>
    <t>Ulinzi</t>
  </si>
  <si>
    <t xml:space="preserve">Taka </t>
  </si>
  <si>
    <t>Moja Tax</t>
  </si>
  <si>
    <t>Mkate</t>
  </si>
  <si>
    <t>Fundi Nguo</t>
  </si>
  <si>
    <t>Abel Moshi</t>
  </si>
  <si>
    <t>Nancy Lunch</t>
  </si>
  <si>
    <t>Mzigo</t>
  </si>
  <si>
    <t>Abel Mzigo Dar</t>
  </si>
  <si>
    <t>Nana Lipa No</t>
  </si>
  <si>
    <t>Umeme</t>
  </si>
  <si>
    <t>Viungo</t>
  </si>
  <si>
    <t>Mahindi</t>
  </si>
  <si>
    <t>Marry</t>
  </si>
  <si>
    <t>Scones</t>
  </si>
  <si>
    <t>Maji &amp; 3000</t>
  </si>
  <si>
    <t>Boda</t>
  </si>
  <si>
    <t>Mafuta</t>
  </si>
  <si>
    <t>Nancy Salio</t>
  </si>
  <si>
    <t>Nancy Nauli</t>
  </si>
  <si>
    <t>Abel Mzigo Iringa</t>
  </si>
  <si>
    <t xml:space="preserve">Sukari </t>
  </si>
  <si>
    <t xml:space="preserve">Fundi </t>
  </si>
  <si>
    <t>Nancy (lulu)</t>
  </si>
  <si>
    <t>Control Number</t>
  </si>
  <si>
    <t>Fundi saa</t>
  </si>
  <si>
    <t>Tumetuma Mussa</t>
  </si>
  <si>
    <t>Bim</t>
  </si>
  <si>
    <t>James</t>
  </si>
  <si>
    <t>Francis</t>
  </si>
  <si>
    <t>Lunch Nancy &amp; Lulu</t>
  </si>
  <si>
    <t xml:space="preserve">Lunch </t>
  </si>
  <si>
    <t>Soap Oils</t>
  </si>
  <si>
    <t>Wipes (Nana)</t>
  </si>
  <si>
    <t>Nancy Dawa</t>
  </si>
  <si>
    <t>Nancy (NMB)</t>
  </si>
  <si>
    <t>Fundi Viatu</t>
  </si>
  <si>
    <t>Mafuta Ya Sabuni</t>
  </si>
  <si>
    <t>TRA</t>
  </si>
  <si>
    <t>AUWSA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</si>
</sst>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_([$TZS]\ * #,##0_);_([$TZS]\ * \(#,##0\);_([$TZS]\ * &quot;-&quot;_);_(@_)"/>
    <numFmt numFmtId="165" formatCode="_([$TZS]\ * #,##0_);_([$TZS]\ * \(#,##0\);_([$TZS]\ * &quot;-&quot;??_);_(@_)"/>
    <numFmt numFmtId="166" formatCode="[&gt;=1000000]&quot;TZS &quot;\ #,##0,,&quot;m&quot;;&quot;TZS &quot;\ #,##0,&quot;k&quot;"/>
    <numFmt numFmtId="167" formatCode="mm/dd/yy;@"/>
  </numFmts>
  <fonts count="7"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b/>
      <sz val="26"/>
      <color theme="1"/>
      <name val="Calibri"/>
      <family val="2"/>
      <scheme val="minor"/>
    </font>
    <font>
      <b/>
      <u/>
      <sz val="24"/>
      <color theme="1"/>
      <name val="Calibri"/>
      <family val="2"/>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1" tint="4.9989318521683403E-2"/>
        <bgColor indexed="64"/>
      </patternFill>
    </fill>
    <fill>
      <patternFill patternType="solid">
        <fgColor theme="0"/>
        <bgColor indexed="64"/>
      </patternFill>
    </fill>
  </fills>
  <borders count="4">
    <border>
      <left/>
      <right/>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44" fontId="3" fillId="0" borderId="0" applyFont="0" applyFill="0" applyBorder="0" applyAlignment="0" applyProtection="0"/>
  </cellStyleXfs>
  <cellXfs count="24">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xf numFmtId="164" fontId="1" fillId="0" borderId="0" xfId="1" applyNumberFormat="1" applyFont="1" applyAlignment="1">
      <alignment horizontal="center" vertical="center" wrapText="1"/>
    </xf>
    <xf numFmtId="164" fontId="0" fillId="0" borderId="0" xfId="1" applyNumberFormat="1" applyFont="1" applyAlignment="1">
      <alignment vertical="center" wrapText="1"/>
    </xf>
    <xf numFmtId="164" fontId="0" fillId="0" borderId="0" xfId="1" applyNumberFormat="1" applyFon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165" fontId="0" fillId="2" borderId="1" xfId="0" applyNumberFormat="1" applyFont="1" applyFill="1" applyBorder="1"/>
    <xf numFmtId="164" fontId="0" fillId="0" borderId="0" xfId="0" applyNumberFormat="1"/>
    <xf numFmtId="0" fontId="4" fillId="3" borderId="2" xfId="0" applyFont="1" applyFill="1" applyBorder="1"/>
    <xf numFmtId="0" fontId="4" fillId="3" borderId="3" xfId="0" applyFont="1" applyFill="1" applyBorder="1"/>
    <xf numFmtId="14" fontId="4" fillId="3" borderId="3" xfId="0" applyNumberFormat="1" applyFont="1" applyFill="1" applyBorder="1"/>
    <xf numFmtId="167" fontId="0" fillId="0" borderId="0" xfId="0" applyNumberFormat="1"/>
    <xf numFmtId="165" fontId="0" fillId="0" borderId="0" xfId="1" applyNumberFormat="1" applyFont="1"/>
    <xf numFmtId="0" fontId="0" fillId="4" borderId="0" xfId="0" applyFill="1"/>
    <xf numFmtId="0" fontId="5" fillId="5" borderId="0" xfId="0" applyFont="1" applyFill="1"/>
    <xf numFmtId="0" fontId="6" fillId="0" borderId="0" xfId="0" applyFont="1"/>
    <xf numFmtId="165" fontId="4" fillId="3" borderId="3" xfId="0" applyNumberFormat="1" applyFont="1" applyFill="1" applyBorder="1"/>
    <xf numFmtId="16" fontId="0" fillId="0" borderId="0" xfId="0" applyNumberFormat="1"/>
  </cellXfs>
  <cellStyles count="2">
    <cellStyle name="Currency" xfId="1" builtinId="4"/>
    <cellStyle name="Normal" xfId="0" builtinId="0"/>
  </cellStyles>
  <dxfs count="5">
    <dxf>
      <numFmt numFmtId="164" formatCode="_([$TZS]\ * #,##0_);_([$TZS]\ * \(#,##0\);_([$TZS]\ * &quot;-&quot;_);_(@_)"/>
    </dxf>
    <dxf>
      <numFmt numFmtId="164" formatCode="_([$TZS]\ * #,##0_);_([$TZS]\ * \(#,##0\);_([$TZS]\ * &quot;-&quot;_);_(@_)"/>
    </dxf>
    <dxf>
      <numFmt numFmtId="165" formatCode="_([$TZS]\ * #,##0_);_([$TZS]\ * \(#,##0\);_([$TZS]\ * &quot;-&quot;??_);_(@_)"/>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5 Selling Items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Tables'!$A$3:$A$8</c:f>
              <c:strCache>
                <c:ptCount val="5"/>
                <c:pt idx="0">
                  <c:v>Turmeric &amp; honey soap (T&amp;H)</c:v>
                </c:pt>
                <c:pt idx="1">
                  <c:v>Carrot Oil Small</c:v>
                </c:pt>
                <c:pt idx="2">
                  <c:v>Coffee Soap</c:v>
                </c:pt>
                <c:pt idx="3">
                  <c:v>Hand Lotion</c:v>
                </c:pt>
                <c:pt idx="4">
                  <c:v>Body Butter</c:v>
                </c:pt>
              </c:strCache>
            </c:strRef>
          </c:cat>
          <c:val>
            <c:numRef>
              <c:f>'Pivot Tables'!$B$3:$B$8</c:f>
              <c:numCache>
                <c:formatCode>General</c:formatCode>
                <c:ptCount val="5"/>
                <c:pt idx="0">
                  <c:v>55</c:v>
                </c:pt>
                <c:pt idx="1">
                  <c:v>43</c:v>
                </c:pt>
                <c:pt idx="2">
                  <c:v>40</c:v>
                </c:pt>
                <c:pt idx="3">
                  <c:v>37</c:v>
                </c:pt>
                <c:pt idx="4">
                  <c:v>24</c:v>
                </c:pt>
              </c:numCache>
            </c:numRef>
          </c:val>
          <c:extLst>
            <c:ext xmlns:c16="http://schemas.microsoft.com/office/drawing/2014/chart" uri="{C3380CC4-5D6E-409C-BE32-E72D297353CC}">
              <c16:uniqueId val="{00000000-959A-4E2D-8CD8-F6D13CF055A1}"/>
            </c:ext>
          </c:extLst>
        </c:ser>
        <c:dLbls>
          <c:dLblPos val="outEnd"/>
          <c:showLegendKey val="0"/>
          <c:showVal val="1"/>
          <c:showCatName val="0"/>
          <c:showSerName val="0"/>
          <c:showPercent val="0"/>
          <c:showBubbleSize val="0"/>
        </c:dLbls>
        <c:gapWidth val="219"/>
        <c:overlap val="-27"/>
        <c:axId val="1878639312"/>
        <c:axId val="1878636432"/>
      </c:barChart>
      <c:catAx>
        <c:axId val="1878639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78636432"/>
        <c:crosses val="autoZero"/>
        <c:auto val="1"/>
        <c:lblAlgn val="ctr"/>
        <c:lblOffset val="100"/>
        <c:noMultiLvlLbl val="0"/>
      </c:catAx>
      <c:valAx>
        <c:axId val="1878636432"/>
        <c:scaling>
          <c:orientation val="minMax"/>
        </c:scaling>
        <c:delete val="1"/>
        <c:axPos val="l"/>
        <c:numFmt formatCode="General" sourceLinked="1"/>
        <c:majorTickMark val="none"/>
        <c:minorTickMark val="none"/>
        <c:tickLblPos val="nextTo"/>
        <c:crossAx val="187863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Tables!PivotTable2</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5 Selling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Tables'!$A$33:$A$39</c:f>
              <c:strCache>
                <c:ptCount val="6"/>
                <c:pt idx="0">
                  <c:v>Beard wash</c:v>
                </c:pt>
                <c:pt idx="1">
                  <c:v>Face roller</c:v>
                </c:pt>
                <c:pt idx="2">
                  <c:v>Hair Oil</c:v>
                </c:pt>
                <c:pt idx="3">
                  <c:v>Jiwe</c:v>
                </c:pt>
                <c:pt idx="4">
                  <c:v>Body Polish</c:v>
                </c:pt>
                <c:pt idx="5">
                  <c:v>soap dish</c:v>
                </c:pt>
              </c:strCache>
            </c:strRef>
          </c:cat>
          <c:val>
            <c:numRef>
              <c:f>'Pivot Tables'!$B$33:$B$39</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457F-4C10-B855-7C15C8770111}"/>
            </c:ext>
          </c:extLst>
        </c:ser>
        <c:dLbls>
          <c:dLblPos val="outEnd"/>
          <c:showLegendKey val="0"/>
          <c:showVal val="1"/>
          <c:showCatName val="0"/>
          <c:showSerName val="0"/>
          <c:showPercent val="0"/>
          <c:showBubbleSize val="0"/>
        </c:dLbls>
        <c:gapWidth val="219"/>
        <c:overlap val="-27"/>
        <c:axId val="1611462960"/>
        <c:axId val="1609652144"/>
      </c:barChart>
      <c:catAx>
        <c:axId val="1611462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09652144"/>
        <c:crosses val="autoZero"/>
        <c:auto val="1"/>
        <c:lblAlgn val="ctr"/>
        <c:lblOffset val="100"/>
        <c:noMultiLvlLbl val="0"/>
      </c:catAx>
      <c:valAx>
        <c:axId val="1609652144"/>
        <c:scaling>
          <c:orientation val="minMax"/>
        </c:scaling>
        <c:delete val="1"/>
        <c:axPos val="l"/>
        <c:numFmt formatCode="General" sourceLinked="1"/>
        <c:majorTickMark val="none"/>
        <c:minorTickMark val="none"/>
        <c:tickLblPos val="nextTo"/>
        <c:crossAx val="1611462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Tables!PivotTable4</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5 Revenue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Tables'!$L$25:$L$30</c:f>
              <c:strCache>
                <c:ptCount val="5"/>
                <c:pt idx="0">
                  <c:v>Coffee Soap Small</c:v>
                </c:pt>
                <c:pt idx="1">
                  <c:v>soap dish</c:v>
                </c:pt>
                <c:pt idx="2">
                  <c:v>Coffee Rose</c:v>
                </c:pt>
                <c:pt idx="3">
                  <c:v>Jiwe</c:v>
                </c:pt>
                <c:pt idx="4">
                  <c:v>Coffee Soap</c:v>
                </c:pt>
              </c:strCache>
            </c:strRef>
          </c:cat>
          <c:val>
            <c:numRef>
              <c:f>'Pivot Tables'!$M$25:$M$30</c:f>
              <c:numCache>
                <c:formatCode>_([$TZS]\ * #,##0_);_([$TZS]\ * \(#,##0\);_([$TZS]\ * "-"??_);_(@_)</c:formatCode>
                <c:ptCount val="5"/>
                <c:pt idx="0">
                  <c:v>14000</c:v>
                </c:pt>
                <c:pt idx="1">
                  <c:v>10000</c:v>
                </c:pt>
                <c:pt idx="2">
                  <c:v>10000</c:v>
                </c:pt>
                <c:pt idx="3">
                  <c:v>5000</c:v>
                </c:pt>
                <c:pt idx="4">
                  <c:v>0</c:v>
                </c:pt>
              </c:numCache>
            </c:numRef>
          </c:val>
          <c:extLst>
            <c:ext xmlns:c16="http://schemas.microsoft.com/office/drawing/2014/chart" uri="{C3380CC4-5D6E-409C-BE32-E72D297353CC}">
              <c16:uniqueId val="{00000000-F073-4AA5-8DB5-CDD4C3BDEDB8}"/>
            </c:ext>
          </c:extLst>
        </c:ser>
        <c:dLbls>
          <c:dLblPos val="outEnd"/>
          <c:showLegendKey val="0"/>
          <c:showVal val="1"/>
          <c:showCatName val="0"/>
          <c:showSerName val="0"/>
          <c:showPercent val="0"/>
          <c:showBubbleSize val="0"/>
        </c:dLbls>
        <c:gapWidth val="219"/>
        <c:overlap val="-27"/>
        <c:axId val="2098013584"/>
        <c:axId val="2098018864"/>
      </c:barChart>
      <c:catAx>
        <c:axId val="209801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2098018864"/>
        <c:crosses val="autoZero"/>
        <c:auto val="1"/>
        <c:lblAlgn val="ctr"/>
        <c:lblOffset val="100"/>
        <c:noMultiLvlLbl val="0"/>
      </c:catAx>
      <c:valAx>
        <c:axId val="2098018864"/>
        <c:scaling>
          <c:orientation val="minMax"/>
        </c:scaling>
        <c:delete val="1"/>
        <c:axPos val="l"/>
        <c:numFmt formatCode="_([$TZS]\ * #,##0_);_([$TZS]\ * \(#,##0\);_([$TZS]\ * &quot;-&quot;??_);_(@_)" sourceLinked="1"/>
        <c:majorTickMark val="none"/>
        <c:minorTickMark val="none"/>
        <c:tickLblPos val="nextTo"/>
        <c:crossAx val="2098013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Top</a:t>
            </a:r>
            <a:r>
              <a:rPr lang="en-US" b="1" baseline="0">
                <a:solidFill>
                  <a:sysClr val="windowText" lastClr="000000"/>
                </a:solidFill>
              </a:rPr>
              <a:t> 5 Revenue Products</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Tables'!$M$3</c:f>
              <c:strCache>
                <c:ptCount val="1"/>
                <c:pt idx="0">
                  <c:v>Total</c:v>
                </c:pt>
              </c:strCache>
            </c:strRef>
          </c:tx>
          <c:spPr>
            <a:solidFill>
              <a:schemeClr val="accent1"/>
            </a:solidFill>
            <a:ln>
              <a:noFill/>
            </a:ln>
            <a:effectLst/>
          </c:spPr>
          <c:invertIfNegative val="0"/>
          <c:cat>
            <c:strRef>
              <c:f>'Pivot Tables'!$L$4:$L$9</c:f>
              <c:strCache>
                <c:ptCount val="5"/>
                <c:pt idx="0">
                  <c:v>Carrot Oil Small</c:v>
                </c:pt>
                <c:pt idx="1">
                  <c:v>Body Butter</c:v>
                </c:pt>
                <c:pt idx="2">
                  <c:v>Turmeric &amp; honey soap (T&amp;H)</c:v>
                </c:pt>
                <c:pt idx="3">
                  <c:v>Hand Lotion</c:v>
                </c:pt>
                <c:pt idx="4">
                  <c:v>Coffee Scrub</c:v>
                </c:pt>
              </c:strCache>
            </c:strRef>
          </c:cat>
          <c:val>
            <c:numRef>
              <c:f>'Pivot Tables'!$M$4:$M$9</c:f>
              <c:numCache>
                <c:formatCode>[&gt;=1000000]"TZS "\ #,##0,,"m";"TZS "\ #,##0,"k"</c:formatCode>
                <c:ptCount val="5"/>
                <c:pt idx="0">
                  <c:v>860000</c:v>
                </c:pt>
                <c:pt idx="1">
                  <c:v>840000</c:v>
                </c:pt>
                <c:pt idx="2">
                  <c:v>550000</c:v>
                </c:pt>
                <c:pt idx="3">
                  <c:v>444000</c:v>
                </c:pt>
                <c:pt idx="4">
                  <c:v>420000</c:v>
                </c:pt>
              </c:numCache>
            </c:numRef>
          </c:val>
          <c:extLst>
            <c:ext xmlns:c16="http://schemas.microsoft.com/office/drawing/2014/chart" uri="{C3380CC4-5D6E-409C-BE32-E72D297353CC}">
              <c16:uniqueId val="{00000000-7F6F-4066-8B8E-91D986F2A412}"/>
            </c:ext>
          </c:extLst>
        </c:ser>
        <c:dLbls>
          <c:showLegendKey val="0"/>
          <c:showVal val="0"/>
          <c:showCatName val="0"/>
          <c:showSerName val="0"/>
          <c:showPercent val="0"/>
          <c:showBubbleSize val="0"/>
        </c:dLbls>
        <c:gapWidth val="219"/>
        <c:overlap val="-27"/>
        <c:axId val="589263248"/>
        <c:axId val="589264080"/>
      </c:barChart>
      <c:catAx>
        <c:axId val="589263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89264080"/>
        <c:crosses val="autoZero"/>
        <c:auto val="1"/>
        <c:lblAlgn val="ctr"/>
        <c:lblOffset val="100"/>
        <c:noMultiLvlLbl val="0"/>
      </c:catAx>
      <c:valAx>
        <c:axId val="589264080"/>
        <c:scaling>
          <c:orientation val="minMax"/>
        </c:scaling>
        <c:delete val="0"/>
        <c:axPos val="l"/>
        <c:numFmt formatCode="[&gt;=1000000]&quot;TZS &quot;\ #,##0,,&quot;m&quot;;&quot;TZS &quot;\ #,##0,&quot;k&quot;"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89263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Purchase Trend</a:t>
            </a:r>
            <a:r>
              <a:rPr lang="en-US" b="1" baseline="0">
                <a:solidFill>
                  <a:sysClr val="windowText" lastClr="000000"/>
                </a:solidFill>
              </a:rPr>
              <a:t> By Month</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Tables'!$B$49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Tables'!$A$50:$A$53</c:f>
              <c:strCache>
                <c:ptCount val="3"/>
                <c:pt idx="0">
                  <c:v>Oct</c:v>
                </c:pt>
                <c:pt idx="1">
                  <c:v>Nov</c:v>
                </c:pt>
                <c:pt idx="2">
                  <c:v>Dec</c:v>
                </c:pt>
              </c:strCache>
            </c:strRef>
          </c:cat>
          <c:val>
            <c:numRef>
              <c:f>'Pivot Tables'!$B$50:$B$53</c:f>
              <c:numCache>
                <c:formatCode>_([$TZS]\ * #,##0_);_([$TZS]\ * \(#,##0\);_([$TZS]\ * "-"_);_(@_)</c:formatCode>
                <c:ptCount val="3"/>
                <c:pt idx="0">
                  <c:v>1896000</c:v>
                </c:pt>
                <c:pt idx="1">
                  <c:v>1039000</c:v>
                </c:pt>
                <c:pt idx="2">
                  <c:v>3052000</c:v>
                </c:pt>
              </c:numCache>
            </c:numRef>
          </c:val>
          <c:smooth val="0"/>
          <c:extLst>
            <c:ext xmlns:c16="http://schemas.microsoft.com/office/drawing/2014/chart" uri="{C3380CC4-5D6E-409C-BE32-E72D297353CC}">
              <c16:uniqueId val="{00000000-BBC0-4A36-8BDE-B8E583E3AA76}"/>
            </c:ext>
          </c:extLst>
        </c:ser>
        <c:dLbls>
          <c:dLblPos val="t"/>
          <c:showLegendKey val="0"/>
          <c:showVal val="1"/>
          <c:showCatName val="0"/>
          <c:showSerName val="0"/>
          <c:showPercent val="0"/>
          <c:showBubbleSize val="0"/>
        </c:dLbls>
        <c:smooth val="0"/>
        <c:axId val="591161168"/>
        <c:axId val="591164080"/>
      </c:lineChart>
      <c:catAx>
        <c:axId val="59116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91164080"/>
        <c:crosses val="autoZero"/>
        <c:auto val="1"/>
        <c:lblAlgn val="ctr"/>
        <c:lblOffset val="100"/>
        <c:noMultiLvlLbl val="0"/>
      </c:catAx>
      <c:valAx>
        <c:axId val="591164080"/>
        <c:scaling>
          <c:orientation val="minMax"/>
        </c:scaling>
        <c:delete val="0"/>
        <c:axPos val="l"/>
        <c:numFmt formatCode="_([$TZS]\ * #,##0_);_([$TZS]\ * \(#,##0\);_([$TZS]\ *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9116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Tables!PivotTable6</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5 Selling Items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Tables'!$A$58:$A$63</c:f>
              <c:strCache>
                <c:ptCount val="5"/>
                <c:pt idx="0">
                  <c:v>Turmeric &amp; honey soap (T&amp;H)</c:v>
                </c:pt>
                <c:pt idx="1">
                  <c:v>Hand lotion</c:v>
                </c:pt>
                <c:pt idx="2">
                  <c:v>Coffee Bar</c:v>
                </c:pt>
                <c:pt idx="3">
                  <c:v>Carrot oil small</c:v>
                </c:pt>
                <c:pt idx="4">
                  <c:v>Face mist</c:v>
                </c:pt>
              </c:strCache>
            </c:strRef>
          </c:cat>
          <c:val>
            <c:numRef>
              <c:f>'Pivot Tables'!$B$58:$B$63</c:f>
              <c:numCache>
                <c:formatCode>General</c:formatCode>
                <c:ptCount val="5"/>
                <c:pt idx="0">
                  <c:v>96</c:v>
                </c:pt>
                <c:pt idx="1">
                  <c:v>70</c:v>
                </c:pt>
                <c:pt idx="2">
                  <c:v>54</c:v>
                </c:pt>
                <c:pt idx="3">
                  <c:v>51</c:v>
                </c:pt>
                <c:pt idx="4">
                  <c:v>28</c:v>
                </c:pt>
              </c:numCache>
            </c:numRef>
          </c:val>
          <c:extLst>
            <c:ext xmlns:c16="http://schemas.microsoft.com/office/drawing/2014/chart" uri="{C3380CC4-5D6E-409C-BE32-E72D297353CC}">
              <c16:uniqueId val="{00000000-5B9D-4DFA-A378-CA7D67344D49}"/>
            </c:ext>
          </c:extLst>
        </c:ser>
        <c:dLbls>
          <c:dLblPos val="outEnd"/>
          <c:showLegendKey val="0"/>
          <c:showVal val="1"/>
          <c:showCatName val="0"/>
          <c:showSerName val="0"/>
          <c:showPercent val="0"/>
          <c:showBubbleSize val="0"/>
        </c:dLbls>
        <c:gapWidth val="219"/>
        <c:overlap val="-27"/>
        <c:axId val="1255993551"/>
        <c:axId val="1255995215"/>
      </c:barChart>
      <c:catAx>
        <c:axId val="12559935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5995215"/>
        <c:crosses val="autoZero"/>
        <c:auto val="1"/>
        <c:lblAlgn val="ctr"/>
        <c:lblOffset val="100"/>
        <c:noMultiLvlLbl val="0"/>
      </c:catAx>
      <c:valAx>
        <c:axId val="1255995215"/>
        <c:scaling>
          <c:orientation val="minMax"/>
        </c:scaling>
        <c:delete val="1"/>
        <c:axPos val="l"/>
        <c:numFmt formatCode="General" sourceLinked="1"/>
        <c:majorTickMark val="out"/>
        <c:minorTickMark val="none"/>
        <c:tickLblPos val="nextTo"/>
        <c:crossAx val="1255993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Tables!PivotTable7</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Purchase</a:t>
            </a:r>
            <a:r>
              <a:rPr lang="en-US" b="1" baseline="0"/>
              <a:t> Trend By Month</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486111111111112"/>
          <c:w val="0.93888888888888888"/>
          <c:h val="0.70797863808690575"/>
        </c:manualLayout>
      </c:layout>
      <c:lineChart>
        <c:grouping val="standard"/>
        <c:varyColors val="0"/>
        <c:ser>
          <c:idx val="0"/>
          <c:order val="0"/>
          <c:tx>
            <c:strRef>
              <c:f>'Pivot Tables'!$B$90</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Tables'!$A$91:$A$94</c:f>
              <c:strCache>
                <c:ptCount val="3"/>
                <c:pt idx="0">
                  <c:v>Jan</c:v>
                </c:pt>
                <c:pt idx="1">
                  <c:v>Feb</c:v>
                </c:pt>
                <c:pt idx="2">
                  <c:v>Mar</c:v>
                </c:pt>
              </c:strCache>
            </c:strRef>
          </c:cat>
          <c:val>
            <c:numRef>
              <c:f>'Pivot Tables'!$B$91:$B$94</c:f>
              <c:numCache>
                <c:formatCode>_([$TZS]\ * #,##0_);_([$TZS]\ * \(#,##0\);_([$TZS]\ * "-"_);_(@_)</c:formatCode>
                <c:ptCount val="3"/>
                <c:pt idx="0">
                  <c:v>3136000</c:v>
                </c:pt>
                <c:pt idx="1">
                  <c:v>3339000</c:v>
                </c:pt>
                <c:pt idx="2">
                  <c:v>2800000</c:v>
                </c:pt>
              </c:numCache>
            </c:numRef>
          </c:val>
          <c:smooth val="0"/>
          <c:extLst>
            <c:ext xmlns:c16="http://schemas.microsoft.com/office/drawing/2014/chart" uri="{C3380CC4-5D6E-409C-BE32-E72D297353CC}">
              <c16:uniqueId val="{00000000-FD36-4E6A-B3EE-5428F01237B9}"/>
            </c:ext>
          </c:extLst>
        </c:ser>
        <c:dLbls>
          <c:dLblPos val="t"/>
          <c:showLegendKey val="0"/>
          <c:showVal val="1"/>
          <c:showCatName val="0"/>
          <c:showSerName val="0"/>
          <c:showPercent val="0"/>
          <c:showBubbleSize val="0"/>
        </c:dLbls>
        <c:smooth val="0"/>
        <c:axId val="1032529791"/>
        <c:axId val="1032511903"/>
      </c:lineChart>
      <c:catAx>
        <c:axId val="1032529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032511903"/>
        <c:crosses val="autoZero"/>
        <c:auto val="1"/>
        <c:lblAlgn val="ctr"/>
        <c:lblOffset val="100"/>
        <c:noMultiLvlLbl val="0"/>
      </c:catAx>
      <c:valAx>
        <c:axId val="1032511903"/>
        <c:scaling>
          <c:orientation val="minMax"/>
        </c:scaling>
        <c:delete val="1"/>
        <c:axPos val="l"/>
        <c:numFmt formatCode="_([$TZS]\ * #,##0_);_([$TZS]\ * \(#,##0\);_([$TZS]\ * &quot;-&quot;_);_(@_)" sourceLinked="1"/>
        <c:majorTickMark val="none"/>
        <c:minorTickMark val="none"/>
        <c:tickLblPos val="nextTo"/>
        <c:crossAx val="1032529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Tables!PivotTable9</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5 Revenue Products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Tables'!$L$58:$L$64</c:f>
              <c:strCache>
                <c:ptCount val="6"/>
                <c:pt idx="0">
                  <c:v>Carrot oil small</c:v>
                </c:pt>
                <c:pt idx="1">
                  <c:v>Turmeric &amp; honey soap (T&amp;H)</c:v>
                </c:pt>
                <c:pt idx="2">
                  <c:v>Body butter</c:v>
                </c:pt>
                <c:pt idx="3">
                  <c:v>Hand lotion</c:v>
                </c:pt>
                <c:pt idx="4">
                  <c:v>Face mist</c:v>
                </c:pt>
                <c:pt idx="5">
                  <c:v>Coffee scrub</c:v>
                </c:pt>
              </c:strCache>
            </c:strRef>
          </c:cat>
          <c:val>
            <c:numRef>
              <c:f>'Pivot Tables'!$M$58:$M$64</c:f>
              <c:numCache>
                <c:formatCode>[&gt;=1000000]"TZS "\ #,##0,,"m";"TZS "\ #,##0,"k"</c:formatCode>
                <c:ptCount val="6"/>
                <c:pt idx="0">
                  <c:v>1020000</c:v>
                </c:pt>
                <c:pt idx="1">
                  <c:v>960000</c:v>
                </c:pt>
                <c:pt idx="2">
                  <c:v>910000</c:v>
                </c:pt>
                <c:pt idx="3">
                  <c:v>822000</c:v>
                </c:pt>
                <c:pt idx="4">
                  <c:v>700000</c:v>
                </c:pt>
                <c:pt idx="5">
                  <c:v>700000</c:v>
                </c:pt>
              </c:numCache>
            </c:numRef>
          </c:val>
          <c:extLst>
            <c:ext xmlns:c16="http://schemas.microsoft.com/office/drawing/2014/chart" uri="{C3380CC4-5D6E-409C-BE32-E72D297353CC}">
              <c16:uniqueId val="{00000000-A8B1-478F-BA04-20B35B5A5611}"/>
            </c:ext>
          </c:extLst>
        </c:ser>
        <c:dLbls>
          <c:dLblPos val="outEnd"/>
          <c:showLegendKey val="0"/>
          <c:showVal val="1"/>
          <c:showCatName val="0"/>
          <c:showSerName val="0"/>
          <c:showPercent val="0"/>
          <c:showBubbleSize val="0"/>
        </c:dLbls>
        <c:gapWidth val="219"/>
        <c:overlap val="-27"/>
        <c:axId val="1256029327"/>
        <c:axId val="1256029743"/>
      </c:barChart>
      <c:catAx>
        <c:axId val="1256029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029743"/>
        <c:crosses val="autoZero"/>
        <c:auto val="1"/>
        <c:lblAlgn val="ctr"/>
        <c:lblOffset val="100"/>
        <c:noMultiLvlLbl val="0"/>
      </c:catAx>
      <c:valAx>
        <c:axId val="1256029743"/>
        <c:scaling>
          <c:orientation val="minMax"/>
        </c:scaling>
        <c:delete val="1"/>
        <c:axPos val="l"/>
        <c:numFmt formatCode="[&gt;=1000000]&quot;TZS &quot;\ #,##0,,&quot;m&quot;;&quot;TZS &quot;\ #,##0,&quot;k&quot;" sourceLinked="1"/>
        <c:majorTickMark val="none"/>
        <c:minorTickMark val="none"/>
        <c:tickLblPos val="nextTo"/>
        <c:crossAx val="12560293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Bottom</a:t>
            </a:r>
            <a:r>
              <a:rPr lang="en-US" b="1" baseline="0"/>
              <a:t> Revenue Products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Tables'!$M$74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Tables'!$L$75:$L$82</c:f>
              <c:strCache>
                <c:ptCount val="7"/>
                <c:pt idx="0">
                  <c:v>Gloves</c:v>
                </c:pt>
                <c:pt idx="1">
                  <c:v>Lip Gloss</c:v>
                </c:pt>
                <c:pt idx="2">
                  <c:v>Watermelon</c:v>
                </c:pt>
                <c:pt idx="3">
                  <c:v>Coffee Soap small</c:v>
                </c:pt>
                <c:pt idx="4">
                  <c:v>Turmeric &amp; honey rose (T&amp;H)</c:v>
                </c:pt>
                <c:pt idx="5">
                  <c:v>Coffee rose</c:v>
                </c:pt>
                <c:pt idx="6">
                  <c:v>Jiwe</c:v>
                </c:pt>
              </c:strCache>
            </c:strRef>
          </c:cat>
          <c:val>
            <c:numRef>
              <c:f>'Pivot Tables'!$M$75:$M$82</c:f>
              <c:numCache>
                <c:formatCode>_([$TZS]\ * #,##0_);_([$TZS]\ * \(#,##0\);_([$TZS]\ * "-"??_);_(@_)</c:formatCode>
                <c:ptCount val="7"/>
                <c:pt idx="0">
                  <c:v>10000</c:v>
                </c:pt>
                <c:pt idx="1">
                  <c:v>10000</c:v>
                </c:pt>
                <c:pt idx="2">
                  <c:v>10000</c:v>
                </c:pt>
                <c:pt idx="3">
                  <c:v>7000</c:v>
                </c:pt>
                <c:pt idx="4">
                  <c:v>5000</c:v>
                </c:pt>
                <c:pt idx="5">
                  <c:v>5000</c:v>
                </c:pt>
                <c:pt idx="6">
                  <c:v>5000</c:v>
                </c:pt>
              </c:numCache>
            </c:numRef>
          </c:val>
          <c:extLst>
            <c:ext xmlns:c16="http://schemas.microsoft.com/office/drawing/2014/chart" uri="{C3380CC4-5D6E-409C-BE32-E72D297353CC}">
              <c16:uniqueId val="{00000000-54F2-4238-925C-8BA21FB0FD48}"/>
            </c:ext>
          </c:extLst>
        </c:ser>
        <c:dLbls>
          <c:dLblPos val="outEnd"/>
          <c:showLegendKey val="0"/>
          <c:showVal val="1"/>
          <c:showCatName val="0"/>
          <c:showSerName val="0"/>
          <c:showPercent val="0"/>
          <c:showBubbleSize val="0"/>
        </c:dLbls>
        <c:gapWidth val="219"/>
        <c:overlap val="-27"/>
        <c:axId val="1395576815"/>
        <c:axId val="1395563503"/>
      </c:barChart>
      <c:catAx>
        <c:axId val="139557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95563503"/>
        <c:crosses val="autoZero"/>
        <c:auto val="1"/>
        <c:lblAlgn val="ctr"/>
        <c:lblOffset val="100"/>
        <c:noMultiLvlLbl val="0"/>
      </c:catAx>
      <c:valAx>
        <c:axId val="1395563503"/>
        <c:scaling>
          <c:orientation val="minMax"/>
        </c:scaling>
        <c:delete val="1"/>
        <c:axPos val="l"/>
        <c:numFmt formatCode="_([$TZS]\ * #,##0_);_([$TZS]\ * \(#,##0\);_([$TZS]\ * &quot;-&quot;??_);_(@_)" sourceLinked="1"/>
        <c:majorTickMark val="none"/>
        <c:minorTickMark val="none"/>
        <c:tickLblPos val="nextTo"/>
        <c:crossAx val="1395576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Bottom</a:t>
            </a:r>
            <a:r>
              <a:rPr lang="en-US" b="1" baseline="0"/>
              <a:t> Selling Items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Tables'!$E$81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Tables'!$D$82:$D$98</c:f>
              <c:strCache>
                <c:ptCount val="16"/>
                <c:pt idx="0">
                  <c:v>Bag Made</c:v>
                </c:pt>
                <c:pt idx="1">
                  <c:v>Bath set</c:v>
                </c:pt>
                <c:pt idx="2">
                  <c:v>Beard wash</c:v>
                </c:pt>
                <c:pt idx="3">
                  <c:v>Body wash</c:v>
                </c:pt>
                <c:pt idx="4">
                  <c:v>Coffee rose</c:v>
                </c:pt>
                <c:pt idx="5">
                  <c:v>Coffee Soap small</c:v>
                </c:pt>
                <c:pt idx="6">
                  <c:v>Dry Brush</c:v>
                </c:pt>
                <c:pt idx="7">
                  <c:v>Jiwe</c:v>
                </c:pt>
                <c:pt idx="8">
                  <c:v>laptop bag</c:v>
                </c:pt>
                <c:pt idx="9">
                  <c:v>Lip Gloss</c:v>
                </c:pt>
                <c:pt idx="10">
                  <c:v>Lounge Tote</c:v>
                </c:pt>
                <c:pt idx="11">
                  <c:v>Shea Butter</c:v>
                </c:pt>
                <c:pt idx="12">
                  <c:v>Turmeric &amp; honey rose (T&amp;H)</c:v>
                </c:pt>
                <c:pt idx="13">
                  <c:v>Vikoi</c:v>
                </c:pt>
                <c:pt idx="14">
                  <c:v>Wash bag</c:v>
                </c:pt>
                <c:pt idx="15">
                  <c:v>Watermelon</c:v>
                </c:pt>
              </c:strCache>
            </c:strRef>
          </c:cat>
          <c:val>
            <c:numRef>
              <c:f>'Pivot Tables'!$E$82:$E$98</c:f>
              <c:numCache>
                <c:formatCode>General</c:formatCode>
                <c:ptCount val="16"/>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numCache>
            </c:numRef>
          </c:val>
          <c:extLst>
            <c:ext xmlns:c16="http://schemas.microsoft.com/office/drawing/2014/chart" uri="{C3380CC4-5D6E-409C-BE32-E72D297353CC}">
              <c16:uniqueId val="{00000000-D3AE-424A-8187-70B1BF76CD38}"/>
            </c:ext>
          </c:extLst>
        </c:ser>
        <c:dLbls>
          <c:dLblPos val="outEnd"/>
          <c:showLegendKey val="0"/>
          <c:showVal val="1"/>
          <c:showCatName val="0"/>
          <c:showSerName val="0"/>
          <c:showPercent val="0"/>
          <c:showBubbleSize val="0"/>
        </c:dLbls>
        <c:gapWidth val="219"/>
        <c:overlap val="-27"/>
        <c:axId val="949551759"/>
        <c:axId val="949551343"/>
      </c:barChart>
      <c:catAx>
        <c:axId val="94955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49551343"/>
        <c:crosses val="autoZero"/>
        <c:auto val="1"/>
        <c:lblAlgn val="ctr"/>
        <c:lblOffset val="100"/>
        <c:noMultiLvlLbl val="0"/>
      </c:catAx>
      <c:valAx>
        <c:axId val="949551343"/>
        <c:scaling>
          <c:orientation val="minMax"/>
        </c:scaling>
        <c:delete val="1"/>
        <c:axPos val="l"/>
        <c:numFmt formatCode="General" sourceLinked="1"/>
        <c:majorTickMark val="none"/>
        <c:minorTickMark val="none"/>
        <c:tickLblPos val="nextTo"/>
        <c:crossAx val="949551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5 Selling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700035560071116"/>
          <c:y val="0.20759275237273514"/>
          <c:w val="0.70535433070866127"/>
          <c:h val="0.52684298845733157"/>
        </c:manualLayout>
      </c:layout>
      <c:barChart>
        <c:barDir val="bar"/>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Tables'!$A$3:$A$8</c:f>
              <c:strCache>
                <c:ptCount val="5"/>
                <c:pt idx="0">
                  <c:v>Turmeric &amp; honey soap (T&amp;H)</c:v>
                </c:pt>
                <c:pt idx="1">
                  <c:v>Carrot Oil Small</c:v>
                </c:pt>
                <c:pt idx="2">
                  <c:v>Coffee Soap</c:v>
                </c:pt>
                <c:pt idx="3">
                  <c:v>Hand Lotion</c:v>
                </c:pt>
                <c:pt idx="4">
                  <c:v>Body Butter</c:v>
                </c:pt>
              </c:strCache>
            </c:strRef>
          </c:cat>
          <c:val>
            <c:numRef>
              <c:f>'Pivot Tables'!$B$3:$B$8</c:f>
              <c:numCache>
                <c:formatCode>General</c:formatCode>
                <c:ptCount val="5"/>
                <c:pt idx="0">
                  <c:v>55</c:v>
                </c:pt>
                <c:pt idx="1">
                  <c:v>43</c:v>
                </c:pt>
                <c:pt idx="2">
                  <c:v>40</c:v>
                </c:pt>
                <c:pt idx="3">
                  <c:v>37</c:v>
                </c:pt>
                <c:pt idx="4">
                  <c:v>24</c:v>
                </c:pt>
              </c:numCache>
            </c:numRef>
          </c:val>
          <c:extLst>
            <c:ext xmlns:c16="http://schemas.microsoft.com/office/drawing/2014/chart" uri="{C3380CC4-5D6E-409C-BE32-E72D297353CC}">
              <c16:uniqueId val="{00000000-AD0C-4FCD-A7DB-948ACE8FAB3A}"/>
            </c:ext>
          </c:extLst>
        </c:ser>
        <c:dLbls>
          <c:dLblPos val="outEnd"/>
          <c:showLegendKey val="0"/>
          <c:showVal val="1"/>
          <c:showCatName val="0"/>
          <c:showSerName val="0"/>
          <c:showPercent val="0"/>
          <c:showBubbleSize val="0"/>
        </c:dLbls>
        <c:gapWidth val="219"/>
        <c:axId val="1878639312"/>
        <c:axId val="1878636432"/>
      </c:barChart>
      <c:catAx>
        <c:axId val="1878639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878636432"/>
        <c:crosses val="autoZero"/>
        <c:auto val="1"/>
        <c:lblAlgn val="ctr"/>
        <c:lblOffset val="100"/>
        <c:noMultiLvlLbl val="0"/>
      </c:catAx>
      <c:valAx>
        <c:axId val="1878636432"/>
        <c:scaling>
          <c:orientation val="minMax"/>
        </c:scaling>
        <c:delete val="1"/>
        <c:axPos val="b"/>
        <c:numFmt formatCode="General" sourceLinked="1"/>
        <c:majorTickMark val="none"/>
        <c:minorTickMark val="none"/>
        <c:tickLblPos val="nextTo"/>
        <c:crossAx val="187863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Tables!PivotTable2</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5 Selling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Tables'!$B$32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Tables'!$A$33:$A$39</c:f>
              <c:strCache>
                <c:ptCount val="6"/>
                <c:pt idx="0">
                  <c:v>Beard wash</c:v>
                </c:pt>
                <c:pt idx="1">
                  <c:v>Face roller</c:v>
                </c:pt>
                <c:pt idx="2">
                  <c:v>Hair Oil</c:v>
                </c:pt>
                <c:pt idx="3">
                  <c:v>Jiwe</c:v>
                </c:pt>
                <c:pt idx="4">
                  <c:v>Body Polish</c:v>
                </c:pt>
                <c:pt idx="5">
                  <c:v>soap dish</c:v>
                </c:pt>
              </c:strCache>
            </c:strRef>
          </c:cat>
          <c:val>
            <c:numRef>
              <c:f>'Pivot Tables'!$B$33:$B$39</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F7FF-453F-B930-BCA2601983D5}"/>
            </c:ext>
          </c:extLst>
        </c:ser>
        <c:dLbls>
          <c:dLblPos val="outEnd"/>
          <c:showLegendKey val="0"/>
          <c:showVal val="1"/>
          <c:showCatName val="0"/>
          <c:showSerName val="0"/>
          <c:showPercent val="0"/>
          <c:showBubbleSize val="0"/>
        </c:dLbls>
        <c:gapWidth val="219"/>
        <c:axId val="1611462960"/>
        <c:axId val="1609652144"/>
      </c:barChart>
      <c:catAx>
        <c:axId val="16114629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09652144"/>
        <c:crosses val="autoZero"/>
        <c:auto val="1"/>
        <c:lblAlgn val="ctr"/>
        <c:lblOffset val="100"/>
        <c:noMultiLvlLbl val="0"/>
      </c:catAx>
      <c:valAx>
        <c:axId val="1609652144"/>
        <c:scaling>
          <c:orientation val="minMax"/>
        </c:scaling>
        <c:delete val="1"/>
        <c:axPos val="b"/>
        <c:numFmt formatCode="General" sourceLinked="1"/>
        <c:majorTickMark val="none"/>
        <c:minorTickMark val="none"/>
        <c:tickLblPos val="nextTo"/>
        <c:crossAx val="1611462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Tables!PivotTable4</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Revenue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89129257887784"/>
          <c:y val="0.20238265562815175"/>
          <c:w val="0.78496308985287233"/>
          <c:h val="0.61109514252926012"/>
        </c:manualLayout>
      </c:layout>
      <c:barChart>
        <c:barDir val="bar"/>
        <c:grouping val="clustered"/>
        <c:varyColors val="0"/>
        <c:ser>
          <c:idx val="0"/>
          <c:order val="0"/>
          <c:tx>
            <c:strRef>
              <c:f>'Pivot Tables'!$M$24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Tables'!$L$25:$L$30</c:f>
              <c:strCache>
                <c:ptCount val="5"/>
                <c:pt idx="0">
                  <c:v>Coffee Soap Small</c:v>
                </c:pt>
                <c:pt idx="1">
                  <c:v>soap dish</c:v>
                </c:pt>
                <c:pt idx="2">
                  <c:v>Coffee Rose</c:v>
                </c:pt>
                <c:pt idx="3">
                  <c:v>Jiwe</c:v>
                </c:pt>
                <c:pt idx="4">
                  <c:v>Coffee Soap</c:v>
                </c:pt>
              </c:strCache>
            </c:strRef>
          </c:cat>
          <c:val>
            <c:numRef>
              <c:f>'Pivot Tables'!$M$25:$M$30</c:f>
              <c:numCache>
                <c:formatCode>_([$TZS]\ * #,##0_);_([$TZS]\ * \(#,##0\);_([$TZS]\ * "-"??_);_(@_)</c:formatCode>
                <c:ptCount val="5"/>
                <c:pt idx="0">
                  <c:v>14000</c:v>
                </c:pt>
                <c:pt idx="1">
                  <c:v>10000</c:v>
                </c:pt>
                <c:pt idx="2">
                  <c:v>10000</c:v>
                </c:pt>
                <c:pt idx="3">
                  <c:v>5000</c:v>
                </c:pt>
                <c:pt idx="4">
                  <c:v>0</c:v>
                </c:pt>
              </c:numCache>
            </c:numRef>
          </c:val>
          <c:extLst>
            <c:ext xmlns:c16="http://schemas.microsoft.com/office/drawing/2014/chart" uri="{C3380CC4-5D6E-409C-BE32-E72D297353CC}">
              <c16:uniqueId val="{00000000-9C23-4C12-B55B-6DC859D57EBC}"/>
            </c:ext>
          </c:extLst>
        </c:ser>
        <c:dLbls>
          <c:dLblPos val="outEnd"/>
          <c:showLegendKey val="0"/>
          <c:showVal val="1"/>
          <c:showCatName val="0"/>
          <c:showSerName val="0"/>
          <c:showPercent val="0"/>
          <c:showBubbleSize val="0"/>
        </c:dLbls>
        <c:gapWidth val="219"/>
        <c:axId val="2098013584"/>
        <c:axId val="2098018864"/>
      </c:barChart>
      <c:catAx>
        <c:axId val="20980135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2098018864"/>
        <c:crosses val="autoZero"/>
        <c:auto val="1"/>
        <c:lblAlgn val="ctr"/>
        <c:lblOffset val="100"/>
        <c:noMultiLvlLbl val="0"/>
      </c:catAx>
      <c:valAx>
        <c:axId val="2098018864"/>
        <c:scaling>
          <c:orientation val="minMax"/>
        </c:scaling>
        <c:delete val="1"/>
        <c:axPos val="b"/>
        <c:numFmt formatCode="_([$TZS]\ * #,##0_);_([$TZS]\ * \(#,##0\);_([$TZS]\ * &quot;-&quot;??_);_(@_)" sourceLinked="1"/>
        <c:majorTickMark val="none"/>
        <c:minorTickMark val="none"/>
        <c:tickLblPos val="nextTo"/>
        <c:crossAx val="2098013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Top</a:t>
            </a:r>
            <a:r>
              <a:rPr lang="en-US" b="1" baseline="0">
                <a:solidFill>
                  <a:sysClr val="windowText" lastClr="000000"/>
                </a:solidFill>
              </a:rPr>
              <a:t> 5 Revenue Products</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Tables'!$L$4:$L$9</c:f>
              <c:strCache>
                <c:ptCount val="5"/>
                <c:pt idx="0">
                  <c:v>Carrot Oil Small</c:v>
                </c:pt>
                <c:pt idx="1">
                  <c:v>Body Butter</c:v>
                </c:pt>
                <c:pt idx="2">
                  <c:v>Turmeric &amp; honey soap (T&amp;H)</c:v>
                </c:pt>
                <c:pt idx="3">
                  <c:v>Hand Lotion</c:v>
                </c:pt>
                <c:pt idx="4">
                  <c:v>Coffee Scrub</c:v>
                </c:pt>
              </c:strCache>
            </c:strRef>
          </c:cat>
          <c:val>
            <c:numRef>
              <c:f>'Pivot Tables'!$M$4:$M$9</c:f>
              <c:numCache>
                <c:formatCode>[&gt;=1000000]"TZS "\ #,##0,,"m";"TZS "\ #,##0,"k"</c:formatCode>
                <c:ptCount val="5"/>
                <c:pt idx="0">
                  <c:v>860000</c:v>
                </c:pt>
                <c:pt idx="1">
                  <c:v>840000</c:v>
                </c:pt>
                <c:pt idx="2">
                  <c:v>550000</c:v>
                </c:pt>
                <c:pt idx="3">
                  <c:v>444000</c:v>
                </c:pt>
                <c:pt idx="4">
                  <c:v>420000</c:v>
                </c:pt>
              </c:numCache>
            </c:numRef>
          </c:val>
          <c:extLst>
            <c:ext xmlns:c16="http://schemas.microsoft.com/office/drawing/2014/chart" uri="{C3380CC4-5D6E-409C-BE32-E72D297353CC}">
              <c16:uniqueId val="{00000000-E390-484B-B355-FD6C29124254}"/>
            </c:ext>
          </c:extLst>
        </c:ser>
        <c:dLbls>
          <c:dLblPos val="outEnd"/>
          <c:showLegendKey val="0"/>
          <c:showVal val="1"/>
          <c:showCatName val="0"/>
          <c:showSerName val="0"/>
          <c:showPercent val="0"/>
          <c:showBubbleSize val="0"/>
        </c:dLbls>
        <c:gapWidth val="219"/>
        <c:axId val="589263248"/>
        <c:axId val="589264080"/>
      </c:barChart>
      <c:catAx>
        <c:axId val="589263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89264080"/>
        <c:crosses val="autoZero"/>
        <c:auto val="1"/>
        <c:lblAlgn val="ctr"/>
        <c:lblOffset val="100"/>
        <c:noMultiLvlLbl val="0"/>
      </c:catAx>
      <c:valAx>
        <c:axId val="589264080"/>
        <c:scaling>
          <c:orientation val="minMax"/>
        </c:scaling>
        <c:delete val="1"/>
        <c:axPos val="b"/>
        <c:numFmt formatCode="[&gt;=1000000]&quot;TZS &quot;\ #,##0,,&quot;m&quot;;&quot;TZS &quot;\ #,##0,&quot;k&quot;" sourceLinked="1"/>
        <c:majorTickMark val="none"/>
        <c:minorTickMark val="none"/>
        <c:tickLblPos val="nextTo"/>
        <c:crossAx val="589263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Purchase Trend</a:t>
            </a:r>
            <a:r>
              <a:rPr lang="en-US" b="1" baseline="0">
                <a:solidFill>
                  <a:sysClr val="windowText" lastClr="000000"/>
                </a:solidFill>
              </a:rPr>
              <a:t> By Month</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Tables'!$B$49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Tables'!$A$50:$A$53</c:f>
              <c:strCache>
                <c:ptCount val="3"/>
                <c:pt idx="0">
                  <c:v>Oct</c:v>
                </c:pt>
                <c:pt idx="1">
                  <c:v>Nov</c:v>
                </c:pt>
                <c:pt idx="2">
                  <c:v>Dec</c:v>
                </c:pt>
              </c:strCache>
            </c:strRef>
          </c:cat>
          <c:val>
            <c:numRef>
              <c:f>'Pivot Tables'!$B$50:$B$53</c:f>
              <c:numCache>
                <c:formatCode>_([$TZS]\ * #,##0_);_([$TZS]\ * \(#,##0\);_([$TZS]\ * "-"_);_(@_)</c:formatCode>
                <c:ptCount val="3"/>
                <c:pt idx="0">
                  <c:v>1896000</c:v>
                </c:pt>
                <c:pt idx="1">
                  <c:v>1039000</c:v>
                </c:pt>
                <c:pt idx="2">
                  <c:v>3052000</c:v>
                </c:pt>
              </c:numCache>
            </c:numRef>
          </c:val>
          <c:smooth val="0"/>
          <c:extLst>
            <c:ext xmlns:c16="http://schemas.microsoft.com/office/drawing/2014/chart" uri="{C3380CC4-5D6E-409C-BE32-E72D297353CC}">
              <c16:uniqueId val="{00000000-A3F6-4E15-8C4A-C047366551BB}"/>
            </c:ext>
          </c:extLst>
        </c:ser>
        <c:dLbls>
          <c:dLblPos val="t"/>
          <c:showLegendKey val="0"/>
          <c:showVal val="1"/>
          <c:showCatName val="0"/>
          <c:showSerName val="0"/>
          <c:showPercent val="0"/>
          <c:showBubbleSize val="0"/>
        </c:dLbls>
        <c:smooth val="0"/>
        <c:axId val="591161168"/>
        <c:axId val="591164080"/>
      </c:lineChart>
      <c:catAx>
        <c:axId val="59116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crossAx val="591164080"/>
        <c:crosses val="autoZero"/>
        <c:auto val="1"/>
        <c:lblAlgn val="ctr"/>
        <c:lblOffset val="100"/>
        <c:noMultiLvlLbl val="0"/>
      </c:catAx>
      <c:valAx>
        <c:axId val="591164080"/>
        <c:scaling>
          <c:orientation val="minMax"/>
        </c:scaling>
        <c:delete val="1"/>
        <c:axPos val="l"/>
        <c:numFmt formatCode="_([$TZS]\ * #,##0_);_([$TZS]\ * \(#,##0\);_([$TZS]\ * &quot;-&quot;_);_(@_)" sourceLinked="1"/>
        <c:majorTickMark val="none"/>
        <c:minorTickMark val="none"/>
        <c:tickLblPos val="nextTo"/>
        <c:crossAx val="59116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1.jfif"/><Relationship Id="rId3" Type="http://schemas.openxmlformats.org/officeDocument/2006/relationships/chart" Target="../charts/chart12.xml"/><Relationship Id="rId7" Type="http://schemas.openxmlformats.org/officeDocument/2006/relationships/chart" Target="../charts/chart14.xml"/><Relationship Id="rId12" Type="http://schemas.openxmlformats.org/officeDocument/2006/relationships/chart" Target="../charts/chart15.xml"/><Relationship Id="rId2" Type="http://schemas.openxmlformats.org/officeDocument/2006/relationships/chart" Target="../charts/chart11.xml"/><Relationship Id="rId1" Type="http://schemas.openxmlformats.org/officeDocument/2006/relationships/hyperlink" Target="#Sales!A1"/><Relationship Id="rId6" Type="http://schemas.openxmlformats.org/officeDocument/2006/relationships/hyperlink" Target="#'Executive Summary'!A1"/><Relationship Id="rId11" Type="http://schemas.openxmlformats.org/officeDocument/2006/relationships/image" Target="../media/image4.png"/><Relationship Id="rId5" Type="http://schemas.openxmlformats.org/officeDocument/2006/relationships/hyperlink" Target="#PriceTable!A1"/><Relationship Id="rId10" Type="http://schemas.openxmlformats.org/officeDocument/2006/relationships/image" Target="../media/image3.png"/><Relationship Id="rId4" Type="http://schemas.openxmlformats.org/officeDocument/2006/relationships/chart" Target="../charts/chart13.xml"/><Relationship Id="rId9"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xdr:col>
      <xdr:colOff>266700</xdr:colOff>
      <xdr:row>2</xdr:row>
      <xdr:rowOff>125730</xdr:rowOff>
    </xdr:from>
    <xdr:to>
      <xdr:col>9</xdr:col>
      <xdr:colOff>569595</xdr:colOff>
      <xdr:row>17</xdr:row>
      <xdr:rowOff>152400</xdr:rowOff>
    </xdr:to>
    <xdr:graphicFrame macro="">
      <xdr:nvGraphicFramePr>
        <xdr:cNvPr id="2" name="Chart 1">
          <a:extLst>
            <a:ext uri="{FF2B5EF4-FFF2-40B4-BE49-F238E27FC236}">
              <a16:creationId xmlns:a16="http://schemas.microsoft.com/office/drawing/2014/main" id="{A72BEDA7-BFA8-D190-53A8-04B06506B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462915</xdr:colOff>
      <xdr:row>19</xdr:row>
      <xdr:rowOff>93345</xdr:rowOff>
    </xdr:from>
    <xdr:to>
      <xdr:col>9</xdr:col>
      <xdr:colOff>262890</xdr:colOff>
      <xdr:row>34</xdr:row>
      <xdr:rowOff>120015</xdr:rowOff>
    </xdr:to>
    <xdr:graphicFrame macro="">
      <xdr:nvGraphicFramePr>
        <xdr:cNvPr id="3" name="Chart 2">
          <a:extLst>
            <a:ext uri="{FF2B5EF4-FFF2-40B4-BE49-F238E27FC236}">
              <a16:creationId xmlns:a16="http://schemas.microsoft.com/office/drawing/2014/main" id="{64B6113A-07BF-B77F-9C4B-597DBDCFC7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154305</xdr:colOff>
      <xdr:row>19</xdr:row>
      <xdr:rowOff>17145</xdr:rowOff>
    </xdr:from>
    <xdr:to>
      <xdr:col>20</xdr:col>
      <xdr:colOff>26670</xdr:colOff>
      <xdr:row>34</xdr:row>
      <xdr:rowOff>43815</xdr:rowOff>
    </xdr:to>
    <xdr:graphicFrame macro="">
      <xdr:nvGraphicFramePr>
        <xdr:cNvPr id="5" name="Chart 4">
          <a:extLst>
            <a:ext uri="{FF2B5EF4-FFF2-40B4-BE49-F238E27FC236}">
              <a16:creationId xmlns:a16="http://schemas.microsoft.com/office/drawing/2014/main" id="{CAC79D3E-E733-B93A-E26A-DA40281BE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866384</xdr:colOff>
      <xdr:row>1</xdr:row>
      <xdr:rowOff>121085</xdr:rowOff>
    </xdr:from>
    <xdr:to>
      <xdr:col>21</xdr:col>
      <xdr:colOff>167014</xdr:colOff>
      <xdr:row>16</xdr:row>
      <xdr:rowOff>45928</xdr:rowOff>
    </xdr:to>
    <xdr:graphicFrame macro="">
      <xdr:nvGraphicFramePr>
        <xdr:cNvPr id="8" name="Chart 7">
          <a:extLst>
            <a:ext uri="{FF2B5EF4-FFF2-40B4-BE49-F238E27FC236}">
              <a16:creationId xmlns:a16="http://schemas.microsoft.com/office/drawing/2014/main" id="{7201A450-376A-43E4-B4F5-26DD962E0E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339247</xdr:colOff>
      <xdr:row>36</xdr:row>
      <xdr:rowOff>59865</xdr:rowOff>
    </xdr:from>
    <xdr:to>
      <xdr:col>14</xdr:col>
      <xdr:colOff>58404</xdr:colOff>
      <xdr:row>49</xdr:row>
      <xdr:rowOff>22286</xdr:rowOff>
    </xdr:to>
    <xdr:graphicFrame macro="">
      <xdr:nvGraphicFramePr>
        <xdr:cNvPr id="9" name="Chart 8">
          <a:extLst>
            <a:ext uri="{FF2B5EF4-FFF2-40B4-BE49-F238E27FC236}">
              <a16:creationId xmlns:a16="http://schemas.microsoft.com/office/drawing/2014/main" id="{C9AD6549-2441-4946-80C4-219CCB5A3D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167013</xdr:colOff>
      <xdr:row>57</xdr:row>
      <xdr:rowOff>6263</xdr:rowOff>
    </xdr:from>
    <xdr:to>
      <xdr:col>9</xdr:col>
      <xdr:colOff>83507</xdr:colOff>
      <xdr:row>71</xdr:row>
      <xdr:rowOff>118998</xdr:rowOff>
    </xdr:to>
    <xdr:graphicFrame macro="">
      <xdr:nvGraphicFramePr>
        <xdr:cNvPr id="4" name="Chart 3">
          <a:extLst>
            <a:ext uri="{FF2B5EF4-FFF2-40B4-BE49-F238E27FC236}">
              <a16:creationId xmlns:a16="http://schemas.microsoft.com/office/drawing/2014/main" id="{5DB46F14-BA66-4D23-9709-4660F7BF0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125262</xdr:colOff>
      <xdr:row>99</xdr:row>
      <xdr:rowOff>173277</xdr:rowOff>
    </xdr:from>
    <xdr:to>
      <xdr:col>3</xdr:col>
      <xdr:colOff>1732769</xdr:colOff>
      <xdr:row>114</xdr:row>
      <xdr:rowOff>98121</xdr:rowOff>
    </xdr:to>
    <xdr:graphicFrame macro="">
      <xdr:nvGraphicFramePr>
        <xdr:cNvPr id="6" name="Chart 5">
          <a:extLst>
            <a:ext uri="{FF2B5EF4-FFF2-40B4-BE49-F238E27FC236}">
              <a16:creationId xmlns:a16="http://schemas.microsoft.com/office/drawing/2014/main" id="{C0CDD407-B65F-4D4B-BB29-B8437CBB37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229644</xdr:colOff>
      <xdr:row>56</xdr:row>
      <xdr:rowOff>173277</xdr:rowOff>
    </xdr:from>
    <xdr:to>
      <xdr:col>20</xdr:col>
      <xdr:colOff>135698</xdr:colOff>
      <xdr:row>71</xdr:row>
      <xdr:rowOff>98121</xdr:rowOff>
    </xdr:to>
    <xdr:graphicFrame macro="">
      <xdr:nvGraphicFramePr>
        <xdr:cNvPr id="7" name="Chart 6">
          <a:extLst>
            <a:ext uri="{FF2B5EF4-FFF2-40B4-BE49-F238E27FC236}">
              <a16:creationId xmlns:a16="http://schemas.microsoft.com/office/drawing/2014/main" id="{C17335C3-4514-4473-B276-71F602D0F7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521918</xdr:colOff>
      <xdr:row>72</xdr:row>
      <xdr:rowOff>141962</xdr:rowOff>
    </xdr:from>
    <xdr:to>
      <xdr:col>20</xdr:col>
      <xdr:colOff>427973</xdr:colOff>
      <xdr:row>87</xdr:row>
      <xdr:rowOff>66806</xdr:rowOff>
    </xdr:to>
    <xdr:graphicFrame macro="">
      <xdr:nvGraphicFramePr>
        <xdr:cNvPr id="10" name="Chart 9">
          <a:extLst>
            <a:ext uri="{FF2B5EF4-FFF2-40B4-BE49-F238E27FC236}">
              <a16:creationId xmlns:a16="http://schemas.microsoft.com/office/drawing/2014/main" id="{187DDF8F-C55E-4240-9672-A5A27BA6C2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407096</xdr:colOff>
      <xdr:row>84</xdr:row>
      <xdr:rowOff>141962</xdr:rowOff>
    </xdr:from>
    <xdr:to>
      <xdr:col>12</xdr:col>
      <xdr:colOff>240082</xdr:colOff>
      <xdr:row>99</xdr:row>
      <xdr:rowOff>66806</xdr:rowOff>
    </xdr:to>
    <xdr:graphicFrame macro="">
      <xdr:nvGraphicFramePr>
        <xdr:cNvPr id="11" name="Chart 10">
          <a:extLst>
            <a:ext uri="{FF2B5EF4-FFF2-40B4-BE49-F238E27FC236}">
              <a16:creationId xmlns:a16="http://schemas.microsoft.com/office/drawing/2014/main" id="{69118AF7-49CA-4098-B72B-8E187BEC0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209126</xdr:colOff>
      <xdr:row>3</xdr:row>
      <xdr:rowOff>22011</xdr:rowOff>
    </xdr:from>
    <xdr:to>
      <xdr:col>19</xdr:col>
      <xdr:colOff>402167</xdr:colOff>
      <xdr:row>35</xdr:row>
      <xdr:rowOff>31749</xdr:rowOff>
    </xdr:to>
    <xdr:sp macro="" textlink="">
      <xdr:nvSpPr>
        <xdr:cNvPr id="3" name="Rectangle: Rounded Corners 2">
          <a:extLst>
            <a:ext uri="{FF2B5EF4-FFF2-40B4-BE49-F238E27FC236}">
              <a16:creationId xmlns:a16="http://schemas.microsoft.com/office/drawing/2014/main" id="{ACC04176-836A-E43C-7C39-7E77447A296E}"/>
            </a:ext>
          </a:extLst>
        </xdr:cNvPr>
        <xdr:cNvSpPr/>
      </xdr:nvSpPr>
      <xdr:spPr>
        <a:xfrm>
          <a:off x="209126" y="561761"/>
          <a:ext cx="11855874" cy="5767071"/>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57785</xdr:colOff>
      <xdr:row>3</xdr:row>
      <xdr:rowOff>88476</xdr:rowOff>
    </xdr:from>
    <xdr:to>
      <xdr:col>11</xdr:col>
      <xdr:colOff>400261</xdr:colOff>
      <xdr:row>5</xdr:row>
      <xdr:rowOff>176107</xdr:rowOff>
    </xdr:to>
    <xdr:sp macro="" textlink="">
      <xdr:nvSpPr>
        <xdr:cNvPr id="6" name="Rectangle 5">
          <a:extLst>
            <a:ext uri="{FF2B5EF4-FFF2-40B4-BE49-F238E27FC236}">
              <a16:creationId xmlns:a16="http://schemas.microsoft.com/office/drawing/2014/main" id="{EF48D38A-6F50-4022-B1F9-1956D7225230}"/>
            </a:ext>
          </a:extLst>
        </xdr:cNvPr>
        <xdr:cNvSpPr/>
      </xdr:nvSpPr>
      <xdr:spPr>
        <a:xfrm>
          <a:off x="2513118" y="628226"/>
          <a:ext cx="4639310" cy="447464"/>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2000" b="1"/>
            <a:t>Nana Naturals Q4 Sales Analysis</a:t>
          </a:r>
          <a:r>
            <a:rPr lang="en-US" sz="2000" b="1" baseline="0"/>
            <a:t> (2025)</a:t>
          </a:r>
          <a:endParaRPr lang="en-US" sz="2000" b="1"/>
        </a:p>
      </xdr:txBody>
    </xdr:sp>
    <xdr:clientData/>
  </xdr:twoCellAnchor>
  <xdr:twoCellAnchor>
    <xdr:from>
      <xdr:col>0</xdr:col>
      <xdr:colOff>392429</xdr:colOff>
      <xdr:row>8</xdr:row>
      <xdr:rowOff>28574</xdr:rowOff>
    </xdr:from>
    <xdr:to>
      <xdr:col>2</xdr:col>
      <xdr:colOff>251458</xdr:colOff>
      <xdr:row>33</xdr:row>
      <xdr:rowOff>171446</xdr:rowOff>
    </xdr:to>
    <xdr:sp macro="" textlink="">
      <xdr:nvSpPr>
        <xdr:cNvPr id="10" name="Rectangle: Top Corners Rounded 9">
          <a:hlinkClick xmlns:r="http://schemas.openxmlformats.org/officeDocument/2006/relationships" r:id="rId1"/>
          <a:extLst>
            <a:ext uri="{FF2B5EF4-FFF2-40B4-BE49-F238E27FC236}">
              <a16:creationId xmlns:a16="http://schemas.microsoft.com/office/drawing/2014/main" id="{072BEF6C-F894-89D0-2890-480FB228FC2F}"/>
            </a:ext>
          </a:extLst>
        </xdr:cNvPr>
        <xdr:cNvSpPr/>
      </xdr:nvSpPr>
      <xdr:spPr>
        <a:xfrm rot="10800000">
          <a:off x="392429" y="1476374"/>
          <a:ext cx="1078229" cy="4667247"/>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123190</xdr:colOff>
      <xdr:row>10</xdr:row>
      <xdr:rowOff>155729</xdr:rowOff>
    </xdr:from>
    <xdr:to>
      <xdr:col>8</xdr:col>
      <xdr:colOff>266489</xdr:colOff>
      <xdr:row>23</xdr:row>
      <xdr:rowOff>9237</xdr:rowOff>
    </xdr:to>
    <xdr:graphicFrame macro="">
      <xdr:nvGraphicFramePr>
        <xdr:cNvPr id="11" name="Chart 10">
          <a:extLst>
            <a:ext uri="{FF2B5EF4-FFF2-40B4-BE49-F238E27FC236}">
              <a16:creationId xmlns:a16="http://schemas.microsoft.com/office/drawing/2014/main" id="{5969600D-190E-40BB-BD6C-74B6F38B90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240452</xdr:colOff>
      <xdr:row>10</xdr:row>
      <xdr:rowOff>44874</xdr:rowOff>
    </xdr:from>
    <xdr:to>
      <xdr:col>13</xdr:col>
      <xdr:colOff>442596</xdr:colOff>
      <xdr:row>20</xdr:row>
      <xdr:rowOff>95251</xdr:rowOff>
    </xdr:to>
    <xdr:graphicFrame macro="">
      <xdr:nvGraphicFramePr>
        <xdr:cNvPr id="13" name="Chart 12">
          <a:extLst>
            <a:ext uri="{FF2B5EF4-FFF2-40B4-BE49-F238E27FC236}">
              <a16:creationId xmlns:a16="http://schemas.microsoft.com/office/drawing/2014/main" id="{392844BC-AEB1-4E93-A027-C4E1C8BC89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488949</xdr:colOff>
      <xdr:row>21</xdr:row>
      <xdr:rowOff>143933</xdr:rowOff>
    </xdr:from>
    <xdr:to>
      <xdr:col>18</xdr:col>
      <xdr:colOff>575311</xdr:colOff>
      <xdr:row>34</xdr:row>
      <xdr:rowOff>126788</xdr:rowOff>
    </xdr:to>
    <xdr:graphicFrame macro="">
      <xdr:nvGraphicFramePr>
        <xdr:cNvPr id="14" name="Chart 13">
          <a:extLst>
            <a:ext uri="{FF2B5EF4-FFF2-40B4-BE49-F238E27FC236}">
              <a16:creationId xmlns:a16="http://schemas.microsoft.com/office/drawing/2014/main" id="{78FE3D9A-DC3A-4FE5-9A59-C85ABA9D9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448957</xdr:colOff>
      <xdr:row>15</xdr:row>
      <xdr:rowOff>91440</xdr:rowOff>
    </xdr:from>
    <xdr:to>
      <xdr:col>2</xdr:col>
      <xdr:colOff>207022</xdr:colOff>
      <xdr:row>17</xdr:row>
      <xdr:rowOff>20954</xdr:rowOff>
    </xdr:to>
    <xdr:sp macro="" textlink="">
      <xdr:nvSpPr>
        <xdr:cNvPr id="15" name="TextBox 14">
          <a:extLst>
            <a:ext uri="{FF2B5EF4-FFF2-40B4-BE49-F238E27FC236}">
              <a16:creationId xmlns:a16="http://schemas.microsoft.com/office/drawing/2014/main" id="{08BFC6B7-71AA-A1D5-FA5B-8A5D2B8DE396}"/>
            </a:ext>
          </a:extLst>
        </xdr:cNvPr>
        <xdr:cNvSpPr txBox="1"/>
      </xdr:nvSpPr>
      <xdr:spPr>
        <a:xfrm>
          <a:off x="448957" y="2762001"/>
          <a:ext cx="968719" cy="2855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1"/>
              </a:solidFill>
            </a:rPr>
            <a:t>Sales Sheet</a:t>
          </a:r>
        </a:p>
      </xdr:txBody>
    </xdr:sp>
    <xdr:clientData/>
  </xdr:twoCellAnchor>
  <xdr:twoCellAnchor>
    <xdr:from>
      <xdr:col>0</xdr:col>
      <xdr:colOff>456647</xdr:colOff>
      <xdr:row>10</xdr:row>
      <xdr:rowOff>17767</xdr:rowOff>
    </xdr:from>
    <xdr:to>
      <xdr:col>2</xdr:col>
      <xdr:colOff>214712</xdr:colOff>
      <xdr:row>11</xdr:row>
      <xdr:rowOff>135877</xdr:rowOff>
    </xdr:to>
    <xdr:sp macro="" textlink="">
      <xdr:nvSpPr>
        <xdr:cNvPr id="18" name="TextBox 17">
          <a:hlinkClick xmlns:r="http://schemas.openxmlformats.org/officeDocument/2006/relationships" r:id="rId5"/>
          <a:extLst>
            <a:ext uri="{FF2B5EF4-FFF2-40B4-BE49-F238E27FC236}">
              <a16:creationId xmlns:a16="http://schemas.microsoft.com/office/drawing/2014/main" id="{3A540E9F-A83B-481E-B72B-78DB5A3CA76C}"/>
            </a:ext>
          </a:extLst>
        </xdr:cNvPr>
        <xdr:cNvSpPr txBox="1"/>
      </xdr:nvSpPr>
      <xdr:spPr>
        <a:xfrm>
          <a:off x="456647" y="1798141"/>
          <a:ext cx="968719" cy="2961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1"/>
              </a:solidFill>
            </a:rPr>
            <a:t>Price Table</a:t>
          </a:r>
        </a:p>
      </xdr:txBody>
    </xdr:sp>
    <xdr:clientData/>
  </xdr:twoCellAnchor>
  <xdr:twoCellAnchor>
    <xdr:from>
      <xdr:col>0</xdr:col>
      <xdr:colOff>436868</xdr:colOff>
      <xdr:row>20</xdr:row>
      <xdr:rowOff>28432</xdr:rowOff>
    </xdr:from>
    <xdr:to>
      <xdr:col>2</xdr:col>
      <xdr:colOff>208268</xdr:colOff>
      <xdr:row>22</xdr:row>
      <xdr:rowOff>169136</xdr:rowOff>
    </xdr:to>
    <xdr:sp macro="" textlink="">
      <xdr:nvSpPr>
        <xdr:cNvPr id="20" name="TextBox 19">
          <a:hlinkClick xmlns:r="http://schemas.openxmlformats.org/officeDocument/2006/relationships" r:id="rId6"/>
          <a:extLst>
            <a:ext uri="{FF2B5EF4-FFF2-40B4-BE49-F238E27FC236}">
              <a16:creationId xmlns:a16="http://schemas.microsoft.com/office/drawing/2014/main" id="{D893D05D-EC38-4D5E-9D9A-DA72B70589FF}"/>
            </a:ext>
          </a:extLst>
        </xdr:cNvPr>
        <xdr:cNvSpPr txBox="1"/>
      </xdr:nvSpPr>
      <xdr:spPr>
        <a:xfrm>
          <a:off x="436868" y="3589180"/>
          <a:ext cx="982054" cy="4967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1"/>
              </a:solidFill>
            </a:rPr>
            <a:t>Executive</a:t>
          </a:r>
          <a:r>
            <a:rPr lang="en-US" sz="1100" b="1" baseline="0">
              <a:solidFill>
                <a:schemeClr val="tx1"/>
              </a:solidFill>
            </a:rPr>
            <a:t> Summary</a:t>
          </a:r>
          <a:endParaRPr lang="en-US" sz="1100" b="1">
            <a:solidFill>
              <a:schemeClr val="tx1"/>
            </a:solidFill>
          </a:endParaRPr>
        </a:p>
      </xdr:txBody>
    </xdr:sp>
    <xdr:clientData/>
  </xdr:twoCellAnchor>
  <xdr:twoCellAnchor editAs="oneCell">
    <xdr:from>
      <xdr:col>9</xdr:col>
      <xdr:colOff>145068</xdr:colOff>
      <xdr:row>23</xdr:row>
      <xdr:rowOff>43603</xdr:rowOff>
    </xdr:from>
    <xdr:to>
      <xdr:col>11</xdr:col>
      <xdr:colOff>342476</xdr:colOff>
      <xdr:row>32</xdr:row>
      <xdr:rowOff>169333</xdr:rowOff>
    </xdr:to>
    <mc:AlternateContent xmlns:mc="http://schemas.openxmlformats.org/markup-compatibility/2006" xmlns:a14="http://schemas.microsoft.com/office/drawing/2010/main">
      <mc:Choice Requires="a14">
        <xdr:graphicFrame macro="">
          <xdr:nvGraphicFramePr>
            <xdr:cNvPr id="21" name="Month 1">
              <a:extLst>
                <a:ext uri="{FF2B5EF4-FFF2-40B4-BE49-F238E27FC236}">
                  <a16:creationId xmlns:a16="http://schemas.microsoft.com/office/drawing/2014/main" id="{BE298588-99E2-4FFE-B861-4BB0C95D876F}"/>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5631468" y="4327736"/>
              <a:ext cx="1416608" cy="18021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571499</xdr:colOff>
      <xdr:row>20</xdr:row>
      <xdr:rowOff>162771</xdr:rowOff>
    </xdr:from>
    <xdr:to>
      <xdr:col>8</xdr:col>
      <xdr:colOff>370262</xdr:colOff>
      <xdr:row>34</xdr:row>
      <xdr:rowOff>50221</xdr:rowOff>
    </xdr:to>
    <xdr:graphicFrame macro="">
      <xdr:nvGraphicFramePr>
        <xdr:cNvPr id="16" name="Chart 15">
          <a:extLst>
            <a:ext uri="{FF2B5EF4-FFF2-40B4-BE49-F238E27FC236}">
              <a16:creationId xmlns:a16="http://schemas.microsoft.com/office/drawing/2014/main" id="{EA2C79D4-FDF2-4684-AA85-F8CA4C109B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174201</xdr:colOff>
      <xdr:row>6</xdr:row>
      <xdr:rowOff>21168</xdr:rowOff>
    </xdr:from>
    <xdr:to>
      <xdr:col>5</xdr:col>
      <xdr:colOff>374226</xdr:colOff>
      <xdr:row>9</xdr:row>
      <xdr:rowOff>92287</xdr:rowOff>
    </xdr:to>
    <xdr:sp macro="" textlink="">
      <xdr:nvSpPr>
        <xdr:cNvPr id="2" name="TextBox 1">
          <a:extLst>
            <a:ext uri="{FF2B5EF4-FFF2-40B4-BE49-F238E27FC236}">
              <a16:creationId xmlns:a16="http://schemas.microsoft.com/office/drawing/2014/main" id="{711813BE-8D2F-43CA-AD1C-12B0519523AF}"/>
            </a:ext>
          </a:extLst>
        </xdr:cNvPr>
        <xdr:cNvSpPr txBox="1"/>
      </xdr:nvSpPr>
      <xdr:spPr>
        <a:xfrm>
          <a:off x="2015701" y="1100668"/>
          <a:ext cx="1427692" cy="61086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Revenue </a:t>
          </a:r>
        </a:p>
        <a:p>
          <a:pPr algn="ctr"/>
          <a:r>
            <a:rPr lang="en-US" sz="1400" b="1" baseline="0"/>
            <a:t>TZS 6,397,000</a:t>
          </a:r>
        </a:p>
        <a:p>
          <a:endParaRPr lang="en-US" sz="1100"/>
        </a:p>
      </xdr:txBody>
    </xdr:sp>
    <xdr:clientData/>
  </xdr:twoCellAnchor>
  <xdr:twoCellAnchor>
    <xdr:from>
      <xdr:col>7</xdr:col>
      <xdr:colOff>213571</xdr:colOff>
      <xdr:row>6</xdr:row>
      <xdr:rowOff>132926</xdr:rowOff>
    </xdr:from>
    <xdr:to>
      <xdr:col>9</xdr:col>
      <xdr:colOff>305011</xdr:colOff>
      <xdr:row>9</xdr:row>
      <xdr:rowOff>169334</xdr:rowOff>
    </xdr:to>
    <xdr:sp macro="" textlink="">
      <xdr:nvSpPr>
        <xdr:cNvPr id="7" name="TextBox 6">
          <a:extLst>
            <a:ext uri="{FF2B5EF4-FFF2-40B4-BE49-F238E27FC236}">
              <a16:creationId xmlns:a16="http://schemas.microsoft.com/office/drawing/2014/main" id="{DE9D6E61-D47C-4D1C-AADB-0FC43009F5C5}"/>
            </a:ext>
          </a:extLst>
        </xdr:cNvPr>
        <xdr:cNvSpPr txBox="1"/>
      </xdr:nvSpPr>
      <xdr:spPr>
        <a:xfrm>
          <a:off x="4510404" y="1212426"/>
          <a:ext cx="1319107" cy="57615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Units</a:t>
          </a:r>
        </a:p>
        <a:p>
          <a:pPr algn="ctr"/>
          <a:r>
            <a:rPr lang="en-US" sz="1400" b="1" baseline="0"/>
            <a:t>208</a:t>
          </a:r>
          <a:endParaRPr lang="en-US" sz="1400" b="1"/>
        </a:p>
      </xdr:txBody>
    </xdr:sp>
    <xdr:clientData/>
  </xdr:twoCellAnchor>
  <xdr:twoCellAnchor>
    <xdr:from>
      <xdr:col>11</xdr:col>
      <xdr:colOff>162560</xdr:colOff>
      <xdr:row>6</xdr:row>
      <xdr:rowOff>46143</xdr:rowOff>
    </xdr:from>
    <xdr:to>
      <xdr:col>13</xdr:col>
      <xdr:colOff>453179</xdr:colOff>
      <xdr:row>9</xdr:row>
      <xdr:rowOff>46143</xdr:rowOff>
    </xdr:to>
    <xdr:sp macro="" textlink="">
      <xdr:nvSpPr>
        <xdr:cNvPr id="8" name="TextBox 7">
          <a:extLst>
            <a:ext uri="{FF2B5EF4-FFF2-40B4-BE49-F238E27FC236}">
              <a16:creationId xmlns:a16="http://schemas.microsoft.com/office/drawing/2014/main" id="{940DF03D-72B6-4C06-817E-3BC40E735542}"/>
            </a:ext>
          </a:extLst>
        </xdr:cNvPr>
        <xdr:cNvSpPr txBox="1"/>
      </xdr:nvSpPr>
      <xdr:spPr>
        <a:xfrm>
          <a:off x="6914727" y="1125643"/>
          <a:ext cx="1518285" cy="539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Top Units</a:t>
          </a:r>
        </a:p>
        <a:p>
          <a:pPr algn="ctr"/>
          <a:r>
            <a:rPr lang="en-US" sz="1400" b="1"/>
            <a:t>Turmeric Soap 55</a:t>
          </a:r>
        </a:p>
      </xdr:txBody>
    </xdr:sp>
    <xdr:clientData/>
  </xdr:twoCellAnchor>
  <xdr:twoCellAnchor>
    <xdr:from>
      <xdr:col>16</xdr:col>
      <xdr:colOff>220346</xdr:colOff>
      <xdr:row>6</xdr:row>
      <xdr:rowOff>75989</xdr:rowOff>
    </xdr:from>
    <xdr:to>
      <xdr:col>18</xdr:col>
      <xdr:colOff>273262</xdr:colOff>
      <xdr:row>9</xdr:row>
      <xdr:rowOff>75989</xdr:rowOff>
    </xdr:to>
    <xdr:sp macro="" textlink="">
      <xdr:nvSpPr>
        <xdr:cNvPr id="9" name="TextBox 8">
          <a:extLst>
            <a:ext uri="{FF2B5EF4-FFF2-40B4-BE49-F238E27FC236}">
              <a16:creationId xmlns:a16="http://schemas.microsoft.com/office/drawing/2014/main" id="{A83BC72E-B2FA-47B9-ADF7-E5FF00E0B7B2}"/>
            </a:ext>
          </a:extLst>
        </xdr:cNvPr>
        <xdr:cNvSpPr txBox="1"/>
      </xdr:nvSpPr>
      <xdr:spPr>
        <a:xfrm>
          <a:off x="10041679" y="1155489"/>
          <a:ext cx="1280583" cy="539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Dec Peak</a:t>
          </a:r>
        </a:p>
        <a:p>
          <a:pPr algn="ctr"/>
          <a:r>
            <a:rPr lang="en-US" sz="1400" b="1"/>
            <a:t>TZS 3,172,000</a:t>
          </a:r>
        </a:p>
        <a:p>
          <a:endParaRPr lang="en-US" sz="1100"/>
        </a:p>
      </xdr:txBody>
    </xdr:sp>
    <xdr:clientData/>
  </xdr:twoCellAnchor>
  <xdr:twoCellAnchor editAs="oneCell">
    <xdr:from>
      <xdr:col>15</xdr:col>
      <xdr:colOff>21169</xdr:colOff>
      <xdr:row>5</xdr:row>
      <xdr:rowOff>173143</xdr:rowOff>
    </xdr:from>
    <xdr:to>
      <xdr:col>16</xdr:col>
      <xdr:colOff>188596</xdr:colOff>
      <xdr:row>9</xdr:row>
      <xdr:rowOff>41697</xdr:rowOff>
    </xdr:to>
    <xdr:pic>
      <xdr:nvPicPr>
        <xdr:cNvPr id="17" name="Picture 16">
          <a:extLst>
            <a:ext uri="{FF2B5EF4-FFF2-40B4-BE49-F238E27FC236}">
              <a16:creationId xmlns:a16="http://schemas.microsoft.com/office/drawing/2014/main" id="{17809428-BF21-4FA1-8C92-42E9561480F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228669" y="1072726"/>
          <a:ext cx="781260" cy="588221"/>
        </a:xfrm>
        <a:prstGeom prst="rect">
          <a:avLst/>
        </a:prstGeom>
      </xdr:spPr>
    </xdr:pic>
    <xdr:clientData/>
  </xdr:twoCellAnchor>
  <xdr:twoCellAnchor editAs="oneCell">
    <xdr:from>
      <xdr:col>10</xdr:col>
      <xdr:colOff>59691</xdr:colOff>
      <xdr:row>6</xdr:row>
      <xdr:rowOff>35559</xdr:rowOff>
    </xdr:from>
    <xdr:to>
      <xdr:col>11</xdr:col>
      <xdr:colOff>168276</xdr:colOff>
      <xdr:row>9</xdr:row>
      <xdr:rowOff>124036</xdr:rowOff>
    </xdr:to>
    <xdr:pic>
      <xdr:nvPicPr>
        <xdr:cNvPr id="22" name="Picture 21">
          <a:extLst>
            <a:ext uri="{FF2B5EF4-FFF2-40B4-BE49-F238E27FC236}">
              <a16:creationId xmlns:a16="http://schemas.microsoft.com/office/drawing/2014/main" id="{DD32BBA5-0A60-4B8F-A494-0C03E6AF66A8}"/>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l="21805" t="9949" r="22187" b="12105"/>
        <a:stretch/>
      </xdr:blipFill>
      <xdr:spPr>
        <a:xfrm>
          <a:off x="6198024" y="1115059"/>
          <a:ext cx="716704" cy="624417"/>
        </a:xfrm>
        <a:prstGeom prst="rect">
          <a:avLst/>
        </a:prstGeom>
      </xdr:spPr>
    </xdr:pic>
    <xdr:clientData/>
  </xdr:twoCellAnchor>
  <xdr:twoCellAnchor editAs="oneCell">
    <xdr:from>
      <xdr:col>6</xdr:col>
      <xdr:colOff>125095</xdr:colOff>
      <xdr:row>5</xdr:row>
      <xdr:rowOff>175048</xdr:rowOff>
    </xdr:from>
    <xdr:to>
      <xdr:col>7</xdr:col>
      <xdr:colOff>292523</xdr:colOff>
      <xdr:row>9</xdr:row>
      <xdr:rowOff>61736</xdr:rowOff>
    </xdr:to>
    <xdr:pic>
      <xdr:nvPicPr>
        <xdr:cNvPr id="24" name="Picture 23">
          <a:extLst>
            <a:ext uri="{FF2B5EF4-FFF2-40B4-BE49-F238E27FC236}">
              <a16:creationId xmlns:a16="http://schemas.microsoft.com/office/drawing/2014/main" id="{B8493D66-E083-40A2-8A17-B28962A4204D}"/>
            </a:ext>
          </a:extLst>
        </xdr:cNvPr>
        <xdr:cNvPicPr>
          <a:picLocks noChangeAspect="1"/>
        </xdr:cNvPicPr>
      </xdr:nvPicPr>
      <xdr:blipFill rotWithShape="1">
        <a:blip xmlns:r="http://schemas.openxmlformats.org/officeDocument/2006/relationships" r:embed="rId10" cstate="print">
          <a:extLst>
            <a:ext uri="{28A0092B-C50C-407E-A947-70E740481C1C}">
              <a14:useLocalDpi xmlns:a14="http://schemas.microsoft.com/office/drawing/2010/main" val="0"/>
            </a:ext>
          </a:extLst>
        </a:blip>
        <a:srcRect l="5077" t="14605" r="5172" b="20703"/>
        <a:stretch/>
      </xdr:blipFill>
      <xdr:spPr>
        <a:xfrm>
          <a:off x="3808095" y="1074631"/>
          <a:ext cx="781261" cy="606355"/>
        </a:xfrm>
        <a:prstGeom prst="rect">
          <a:avLst/>
        </a:prstGeom>
      </xdr:spPr>
    </xdr:pic>
    <xdr:clientData/>
  </xdr:twoCellAnchor>
  <xdr:twoCellAnchor editAs="oneCell">
    <xdr:from>
      <xdr:col>2</xdr:col>
      <xdr:colOff>252094</xdr:colOff>
      <xdr:row>6</xdr:row>
      <xdr:rowOff>17356</xdr:rowOff>
    </xdr:from>
    <xdr:to>
      <xdr:col>3</xdr:col>
      <xdr:colOff>236643</xdr:colOff>
      <xdr:row>9</xdr:row>
      <xdr:rowOff>5716</xdr:rowOff>
    </xdr:to>
    <xdr:pic>
      <xdr:nvPicPr>
        <xdr:cNvPr id="27" name="Picture 26">
          <a:extLst>
            <a:ext uri="{FF2B5EF4-FFF2-40B4-BE49-F238E27FC236}">
              <a16:creationId xmlns:a16="http://schemas.microsoft.com/office/drawing/2014/main" id="{BA7869FE-67BC-4CA1-A8FA-6F73A0C75B2A}"/>
            </a:ext>
          </a:extLst>
        </xdr:cNvPr>
        <xdr:cNvPicPr>
          <a:picLocks noChangeAspect="1"/>
        </xdr:cNvPicPr>
      </xdr:nvPicPr>
      <xdr:blipFill rotWithShape="1">
        <a:blip xmlns:r="http://schemas.openxmlformats.org/officeDocument/2006/relationships" r:embed="rId11">
          <a:extLst>
            <a:ext uri="{28A0092B-C50C-407E-A947-70E740481C1C}">
              <a14:useLocalDpi xmlns:a14="http://schemas.microsoft.com/office/drawing/2010/main" val="0"/>
            </a:ext>
          </a:extLst>
        </a:blip>
        <a:srcRect l="15990" t="18654" r="15873" b="30281"/>
        <a:stretch/>
      </xdr:blipFill>
      <xdr:spPr>
        <a:xfrm>
          <a:off x="1479761" y="1096856"/>
          <a:ext cx="598382" cy="528110"/>
        </a:xfrm>
        <a:prstGeom prst="rect">
          <a:avLst/>
        </a:prstGeom>
      </xdr:spPr>
    </xdr:pic>
    <xdr:clientData/>
  </xdr:twoCellAnchor>
  <xdr:twoCellAnchor>
    <xdr:from>
      <xdr:col>13</xdr:col>
      <xdr:colOff>285749</xdr:colOff>
      <xdr:row>10</xdr:row>
      <xdr:rowOff>123190</xdr:rowOff>
    </xdr:from>
    <xdr:to>
      <xdr:col>19</xdr:col>
      <xdr:colOff>285751</xdr:colOff>
      <xdr:row>19</xdr:row>
      <xdr:rowOff>165523</xdr:rowOff>
    </xdr:to>
    <xdr:graphicFrame macro="">
      <xdr:nvGraphicFramePr>
        <xdr:cNvPr id="28" name="Chart 27">
          <a:extLst>
            <a:ext uri="{FF2B5EF4-FFF2-40B4-BE49-F238E27FC236}">
              <a16:creationId xmlns:a16="http://schemas.microsoft.com/office/drawing/2014/main" id="{D8449262-E8C2-46A4-92E3-D2E78FFE2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163829</xdr:colOff>
      <xdr:row>2</xdr:row>
      <xdr:rowOff>114300</xdr:rowOff>
    </xdr:from>
    <xdr:to>
      <xdr:col>11</xdr:col>
      <xdr:colOff>209550</xdr:colOff>
      <xdr:row>35</xdr:row>
      <xdr:rowOff>59055</xdr:rowOff>
    </xdr:to>
    <xdr:pic>
      <xdr:nvPicPr>
        <xdr:cNvPr id="4" name="Picture 3">
          <a:extLst>
            <a:ext uri="{FF2B5EF4-FFF2-40B4-BE49-F238E27FC236}">
              <a16:creationId xmlns:a16="http://schemas.microsoft.com/office/drawing/2014/main" id="{D4B2C57D-72A0-469A-9918-26C082745E6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7317" r="7033" b="41182"/>
        <a:stretch/>
      </xdr:blipFill>
      <xdr:spPr>
        <a:xfrm>
          <a:off x="1383029" y="476250"/>
          <a:ext cx="5532121" cy="5916930"/>
        </a:xfrm>
        <a:prstGeom prst="rect">
          <a:avLst/>
        </a:prstGeom>
      </xdr:spPr>
    </xdr:pic>
    <xdr:clientData/>
  </xdr:twoCellAnchor>
  <xdr:twoCellAnchor>
    <xdr:from>
      <xdr:col>11</xdr:col>
      <xdr:colOff>314325</xdr:colOff>
      <xdr:row>5</xdr:row>
      <xdr:rowOff>125730</xdr:rowOff>
    </xdr:from>
    <xdr:to>
      <xdr:col>22</xdr:col>
      <xdr:colOff>548640</xdr:colOff>
      <xdr:row>33</xdr:row>
      <xdr:rowOff>53340</xdr:rowOff>
    </xdr:to>
    <xdr:sp macro="" textlink="">
      <xdr:nvSpPr>
        <xdr:cNvPr id="5" name="TextBox 4">
          <a:extLst>
            <a:ext uri="{FF2B5EF4-FFF2-40B4-BE49-F238E27FC236}">
              <a16:creationId xmlns:a16="http://schemas.microsoft.com/office/drawing/2014/main" id="{1BE33A1D-FFBF-44C0-A44E-80C9276E540E}"/>
            </a:ext>
          </a:extLst>
        </xdr:cNvPr>
        <xdr:cNvSpPr txBox="1"/>
      </xdr:nvSpPr>
      <xdr:spPr>
        <a:xfrm>
          <a:off x="7019925" y="1030605"/>
          <a:ext cx="6939915" cy="49949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Business Background</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0" marR="0">
            <a:lnSpc>
              <a:spcPct val="107000"/>
            </a:lnSpc>
            <a:spcBef>
              <a:spcPts val="0"/>
            </a:spcBef>
            <a:spcAft>
              <a:spcPts val="800"/>
            </a:spcAft>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Nana Naturals, an Arusha-based organic skincare brand founded by Nancy James, crafts handmade soaps, oils, scrubs, and body butters using plant-based Tanzanian ingredients. Q4 2025 delivered their strongest performance yet.​​</a:t>
          </a:r>
        </a:p>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Q4 Performance Highlights:</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Total Revenue: TZS 6,397,000 across 208 units sold​</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Peak Month: December generated TZS 3,172,000 (50% of Q4 revenue) – holiday success​</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Star Product: Turmeric &amp; Honey Soap led with 55 units sold, proving signature products drive volume​</a:t>
          </a:r>
        </a:p>
        <a:p>
          <a:pPr marL="342900" marR="0" lvl="0" indent="-342900">
            <a:lnSpc>
              <a:spcPct val="107000"/>
            </a:lnSpc>
            <a:spcBef>
              <a:spcPts val="0"/>
            </a:spcBef>
            <a:spcAft>
              <a:spcPts val="80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Revenue Leaders: Carrot Oil Small (TZS 860K) and Body Butter (TZS 840K) topped sales value​</a:t>
          </a:r>
        </a:p>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Strategic Insights</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Holiday multiplier: December sales were 165% higher than October, confirming seasonal opportunity​</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Product focus: Top 5 products (soaps, oils, butters) represent core natural skincare demand​</a:t>
          </a:r>
        </a:p>
        <a:p>
          <a:pPr marL="342900" marR="0" lvl="0" indent="-342900">
            <a:lnSpc>
              <a:spcPct val="107000"/>
            </a:lnSpc>
            <a:spcBef>
              <a:spcPts val="0"/>
            </a:spcBef>
            <a:spcAft>
              <a:spcPts val="80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Volume vs value: Turmeric soap maximizes units while Carrot Oil maximizes revenue per sale​</a:t>
          </a:r>
        </a:p>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Recommendations</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Double down on December: Holiday bundles featuring Turmeric soap + Carrot Oil Small</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Inventory priority: Stock Body Butter and Hand Lotion for Q1 carryover demand</a:t>
          </a:r>
        </a:p>
        <a:p>
          <a:pPr marL="342900" marR="0" lvl="0" indent="-342900">
            <a:lnSpc>
              <a:spcPct val="107000"/>
            </a:lnSpc>
            <a:spcBef>
              <a:spcPts val="0"/>
            </a:spcBef>
            <a:spcAft>
              <a:spcPts val="80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Marketing focus: "Turmeric &amp; Honey Soap – Nana Naturals #1 Seller" campaign</a:t>
          </a:r>
        </a:p>
        <a:p>
          <a:pPr marL="0" marR="0">
            <a:lnSpc>
              <a:spcPct val="107000"/>
            </a:lnSpc>
            <a:spcBef>
              <a:spcPts val="0"/>
            </a:spcBef>
            <a:spcAft>
              <a:spcPts val="800"/>
            </a:spcAft>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Q4 proved Nana Naturals' natural skincare formula resonates. Strategic focus on holiday peaks and top performers positions 2026 for continued growth</a:t>
          </a:r>
          <a:r>
            <a:rPr lang="en-US" sz="1100">
              <a:effectLst/>
              <a:latin typeface="Calibri" panose="020F0502020204030204" pitchFamily="34" charset="0"/>
              <a:ea typeface="맑은 고딕" panose="020B0503020000020004" pitchFamily="50" charset="-127"/>
              <a:cs typeface="Times New Roman" panose="02020603050405020304" pitchFamily="18" charset="0"/>
            </a:rPr>
            <a:t>.</a:t>
          </a:r>
        </a:p>
        <a:p>
          <a:pPr marL="0" marR="0">
            <a:spcBef>
              <a:spcPts val="0"/>
            </a:spcBef>
            <a:spcAft>
              <a:spcPts val="0"/>
            </a:spcAft>
          </a:pPr>
          <a:r>
            <a:rPr lang="en-US" sz="1100">
              <a:effectLst/>
              <a:latin typeface="Calibri" panose="020F0502020204030204" pitchFamily="34" charset="0"/>
              <a:ea typeface="맑은 고딕" panose="020B0503020000020004" pitchFamily="50" charset="-127"/>
              <a:cs typeface="Times New Roman" panose="02020603050405020304" pitchFamily="18" charset="0"/>
            </a:rPr>
            <a:t> </a:t>
          </a:r>
        </a:p>
        <a:p>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_1" refreshedDate="46135.639544560188" createdVersion="7" refreshedVersion="7" minRefreshableVersion="3" recordCount="322" xr:uid="{8D5B8089-A4DB-469F-B9BC-CBDE7577C1A4}">
  <cacheSource type="worksheet">
    <worksheetSource ref="A1:E323" sheet="Q1SALES2026"/>
  </cacheSource>
  <cacheFields count="5">
    <cacheField name="Product" numFmtId="0">
      <sharedItems count="46">
        <s v="Tray"/>
        <s v="Turmeric &amp; honey soap (T&amp;H)"/>
        <s v="Coffee Bar"/>
        <s v="Charcoal Soap"/>
        <s v="Hand lotion"/>
        <s v="Jiwe"/>
        <s v="Carrot oil small"/>
        <s v="Face mask"/>
        <s v="Body Mist"/>
        <s v="Body butter"/>
        <s v="Face mist"/>
        <s v="Coffee Heart"/>
        <s v="lip butter"/>
        <s v="Body Lotion"/>
        <s v="Hair Oil"/>
        <s v="Coffee rose"/>
        <s v="Body wash"/>
        <s v="Coffee scrub"/>
        <s v="Beard oil"/>
        <s v="Earrings"/>
        <s v="Dry Brush"/>
        <s v="Coffee Soap small"/>
        <s v="Watermelon"/>
        <s v="Lounge Tote"/>
        <s v="Big Carpet"/>
        <s v="Bath set"/>
        <s v="Shea Butter"/>
        <s v="Coffee Small Soap"/>
        <s v="Charcoal rose"/>
        <s v="Oatmeal Soap"/>
        <s v="Gloves"/>
        <s v="Candle"/>
        <s v="Essential Oil"/>
        <s v="Body polish"/>
        <s v="Turmeric &amp; honey rose (T&amp;H)"/>
        <s v="Carpet"/>
        <s v="Beard wash"/>
        <s v="Wash bag"/>
        <s v="Bag Made"/>
        <s v="laptop bag"/>
        <s v="Glasses"/>
        <s v="Carrot oil big"/>
        <s v="Charcoal Heart"/>
        <s v="Lip Gloss"/>
        <s v="Vikoi"/>
        <s v="Tote bag" u="1"/>
      </sharedItems>
    </cacheField>
    <cacheField name="Date" numFmtId="0">
      <sharedItems containsSemiMixedTypes="0" containsNonDate="0" containsDate="1" containsString="0" minDate="2026-01-02T00:00:00" maxDate="2026-04-01T00:00:00"/>
    </cacheField>
    <cacheField name="Month" numFmtId="0">
      <sharedItems count="3">
        <s v="Jan"/>
        <s v="Feb"/>
        <s v="Mar"/>
      </sharedItems>
    </cacheField>
    <cacheField name="Units Sold" numFmtId="0">
      <sharedItems containsSemiMixedTypes="0" containsString="0" containsNumber="1" containsInteger="1" minValue="1" maxValue="10"/>
    </cacheField>
    <cacheField name="Revenue" numFmtId="165">
      <sharedItems containsSemiMixedTypes="0" containsString="0" containsNumber="1" containsInteger="1" minValue="5000" maxValue="250000"/>
    </cacheField>
  </cacheFields>
  <extLst>
    <ext xmlns:x14="http://schemas.microsoft.com/office/spreadsheetml/2009/9/main" uri="{725AE2AE-9491-48be-B2B4-4EB974FC3084}">
      <x14:pivotCacheDefinition pivotCacheId="186687931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_1" refreshedDate="46135.639545370374" createdVersion="7" refreshedVersion="7" minRefreshableVersion="3" recordCount="227" xr:uid="{4471B851-AC0A-46BC-812B-CA2D10922607}">
  <cacheSource type="worksheet">
    <worksheetSource ref="A1:E228" sheet="Sales"/>
  </cacheSource>
  <cacheFields count="5">
    <cacheField name="Product" numFmtId="0">
      <sharedItems count="30">
        <s v="Coffee Scrub"/>
        <s v="Body Butter"/>
        <s v="Candle"/>
        <s v="Body Lotion"/>
        <s v="Carrot Oil Small"/>
        <s v="Coffee Soap"/>
        <s v="Turmeric &amp; honey soap (T&amp;H)"/>
        <s v="Beard Oil"/>
        <s v="Lip Butter"/>
        <s v="Coffee Bar"/>
        <s v="Essential Oil"/>
        <s v="Body Polish"/>
        <s v="Jiwe"/>
        <s v="Charcoal Soap"/>
        <s v="Gua sha"/>
        <s v="Face Mask"/>
        <s v="Body Mist"/>
        <s v="Body Wash"/>
        <s v="Hand Lotion"/>
        <s v="Face Mist"/>
        <s v="Carrot oil big"/>
        <s v="Coffee Soap Small"/>
        <s v="soap dish"/>
        <s v="Watermelon scrub"/>
        <s v="Beard wash"/>
        <s v="Shea Butter"/>
        <s v="Oatmeal soap"/>
        <s v="Hair Oil"/>
        <s v="Coffee Rose"/>
        <s v="Face roller"/>
      </sharedItems>
    </cacheField>
    <cacheField name="Date" numFmtId="14">
      <sharedItems containsSemiMixedTypes="0" containsNonDate="0" containsDate="1" containsString="0" minDate="2025-10-08T00:00:00" maxDate="2026-01-01T00:00:00"/>
    </cacheField>
    <cacheField name="Month" numFmtId="14">
      <sharedItems count="3">
        <s v="Oct"/>
        <s v="Nov"/>
        <s v="Dec"/>
      </sharedItems>
    </cacheField>
    <cacheField name="Units Sold" numFmtId="0">
      <sharedItems containsSemiMixedTypes="0" containsString="0" containsNumber="1" containsInteger="1" minValue="1" maxValue="7"/>
    </cacheField>
    <cacheField name="Revenue" numFmtId="165">
      <sharedItems containsSemiMixedTypes="0" containsString="0" containsNumber="1" containsInteger="1" minValue="0" maxValue="165000"/>
    </cacheField>
  </cacheFields>
  <extLst>
    <ext xmlns:x14="http://schemas.microsoft.com/office/spreadsheetml/2009/9/main" uri="{725AE2AE-9491-48be-B2B4-4EB974FC3084}">
      <x14:pivotCacheDefinition pivotCacheId="17807256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d v="2026-01-02T00:00:00"/>
    <x v="0"/>
    <n v="2"/>
    <n v="40000"/>
  </r>
  <r>
    <x v="1"/>
    <d v="2026-01-02T00:00:00"/>
    <x v="0"/>
    <n v="3"/>
    <n v="30000"/>
  </r>
  <r>
    <x v="2"/>
    <d v="2026-01-02T00:00:00"/>
    <x v="0"/>
    <n v="2"/>
    <n v="20000"/>
  </r>
  <r>
    <x v="3"/>
    <d v="2026-01-02T00:00:00"/>
    <x v="0"/>
    <n v="1"/>
    <n v="10000"/>
  </r>
  <r>
    <x v="4"/>
    <d v="2026-01-02T00:00:00"/>
    <x v="0"/>
    <n v="2"/>
    <n v="24000"/>
  </r>
  <r>
    <x v="5"/>
    <d v="2026-01-02T00:00:00"/>
    <x v="0"/>
    <n v="1"/>
    <n v="5000"/>
  </r>
  <r>
    <x v="6"/>
    <d v="2026-01-02T00:00:00"/>
    <x v="0"/>
    <n v="1"/>
    <n v="20000"/>
  </r>
  <r>
    <x v="7"/>
    <d v="2026-01-02T00:00:00"/>
    <x v="0"/>
    <n v="1"/>
    <n v="15000"/>
  </r>
  <r>
    <x v="8"/>
    <d v="2026-01-02T00:00:00"/>
    <x v="0"/>
    <n v="2"/>
    <n v="110000"/>
  </r>
  <r>
    <x v="4"/>
    <d v="2026-01-03T00:00:00"/>
    <x v="0"/>
    <n v="4"/>
    <n v="48000"/>
  </r>
  <r>
    <x v="1"/>
    <d v="2026-01-03T00:00:00"/>
    <x v="0"/>
    <n v="1"/>
    <n v="10000"/>
  </r>
  <r>
    <x v="9"/>
    <d v="2026-01-03T00:00:00"/>
    <x v="0"/>
    <n v="1"/>
    <n v="35000"/>
  </r>
  <r>
    <x v="4"/>
    <d v="2026-01-05T00:00:00"/>
    <x v="0"/>
    <n v="2"/>
    <n v="24000"/>
  </r>
  <r>
    <x v="10"/>
    <d v="2026-01-05T00:00:00"/>
    <x v="0"/>
    <n v="1"/>
    <n v="25000"/>
  </r>
  <r>
    <x v="6"/>
    <d v="2026-01-05T00:00:00"/>
    <x v="0"/>
    <n v="1"/>
    <n v="20000"/>
  </r>
  <r>
    <x v="1"/>
    <d v="2026-01-05T00:00:00"/>
    <x v="0"/>
    <n v="1"/>
    <n v="10000"/>
  </r>
  <r>
    <x v="2"/>
    <d v="2026-01-05T00:00:00"/>
    <x v="0"/>
    <n v="1"/>
    <n v="10000"/>
  </r>
  <r>
    <x v="10"/>
    <d v="2026-01-06T00:00:00"/>
    <x v="0"/>
    <n v="1"/>
    <n v="25000"/>
  </r>
  <r>
    <x v="7"/>
    <d v="2026-01-06T00:00:00"/>
    <x v="0"/>
    <n v="1"/>
    <n v="15000"/>
  </r>
  <r>
    <x v="1"/>
    <d v="2026-01-06T00:00:00"/>
    <x v="0"/>
    <n v="1"/>
    <n v="10000"/>
  </r>
  <r>
    <x v="11"/>
    <d v="2026-01-06T00:00:00"/>
    <x v="0"/>
    <n v="1"/>
    <n v="10000"/>
  </r>
  <r>
    <x v="6"/>
    <d v="2026-01-06T00:00:00"/>
    <x v="0"/>
    <n v="1"/>
    <n v="20000"/>
  </r>
  <r>
    <x v="12"/>
    <d v="2026-01-06T00:00:00"/>
    <x v="0"/>
    <n v="1"/>
    <n v="10000"/>
  </r>
  <r>
    <x v="13"/>
    <d v="2026-01-07T00:00:00"/>
    <x v="0"/>
    <n v="2"/>
    <n v="70000"/>
  </r>
  <r>
    <x v="14"/>
    <d v="2026-01-07T00:00:00"/>
    <x v="0"/>
    <n v="1"/>
    <n v="20000"/>
  </r>
  <r>
    <x v="3"/>
    <d v="2026-01-07T00:00:00"/>
    <x v="0"/>
    <n v="1"/>
    <n v="10000"/>
  </r>
  <r>
    <x v="2"/>
    <d v="2026-01-07T00:00:00"/>
    <x v="0"/>
    <n v="1"/>
    <n v="10000"/>
  </r>
  <r>
    <x v="6"/>
    <d v="2026-01-07T00:00:00"/>
    <x v="0"/>
    <n v="1"/>
    <n v="20000"/>
  </r>
  <r>
    <x v="3"/>
    <d v="2026-01-09T00:00:00"/>
    <x v="0"/>
    <n v="1"/>
    <n v="10000"/>
  </r>
  <r>
    <x v="13"/>
    <d v="2026-01-09T00:00:00"/>
    <x v="0"/>
    <n v="2"/>
    <n v="70000"/>
  </r>
  <r>
    <x v="15"/>
    <d v="2026-01-09T00:00:00"/>
    <x v="0"/>
    <n v="1"/>
    <n v="5000"/>
  </r>
  <r>
    <x v="16"/>
    <d v="2026-01-09T00:00:00"/>
    <x v="0"/>
    <n v="1"/>
    <n v="25000"/>
  </r>
  <r>
    <x v="12"/>
    <d v="2026-01-09T00:00:00"/>
    <x v="0"/>
    <n v="2"/>
    <n v="20000"/>
  </r>
  <r>
    <x v="17"/>
    <d v="2026-01-09T00:00:00"/>
    <x v="0"/>
    <n v="1"/>
    <n v="35000"/>
  </r>
  <r>
    <x v="10"/>
    <d v="2026-01-09T00:00:00"/>
    <x v="0"/>
    <n v="1"/>
    <n v="25000"/>
  </r>
  <r>
    <x v="18"/>
    <d v="2026-01-09T00:00:00"/>
    <x v="0"/>
    <n v="1"/>
    <n v="25000"/>
  </r>
  <r>
    <x v="9"/>
    <d v="2026-01-09T00:00:00"/>
    <x v="0"/>
    <n v="1"/>
    <n v="35000"/>
  </r>
  <r>
    <x v="1"/>
    <d v="2026-01-10T00:00:00"/>
    <x v="0"/>
    <n v="1"/>
    <n v="10000"/>
  </r>
  <r>
    <x v="6"/>
    <d v="2026-01-10T00:00:00"/>
    <x v="0"/>
    <n v="1"/>
    <n v="20000"/>
  </r>
  <r>
    <x v="19"/>
    <d v="2026-01-12T00:00:00"/>
    <x v="0"/>
    <n v="1"/>
    <n v="10000"/>
  </r>
  <r>
    <x v="20"/>
    <d v="2026-01-12T00:00:00"/>
    <x v="0"/>
    <n v="1"/>
    <n v="35000"/>
  </r>
  <r>
    <x v="1"/>
    <d v="2026-01-12T00:00:00"/>
    <x v="0"/>
    <n v="3"/>
    <n v="30000"/>
  </r>
  <r>
    <x v="7"/>
    <d v="2026-01-12T00:00:00"/>
    <x v="0"/>
    <n v="1"/>
    <n v="15000"/>
  </r>
  <r>
    <x v="21"/>
    <d v="2026-01-12T00:00:00"/>
    <x v="0"/>
    <n v="1"/>
    <n v="7000"/>
  </r>
  <r>
    <x v="22"/>
    <d v="2026-01-12T00:00:00"/>
    <x v="0"/>
    <n v="1"/>
    <n v="10000"/>
  </r>
  <r>
    <x v="2"/>
    <d v="2026-01-12T00:00:00"/>
    <x v="0"/>
    <n v="1"/>
    <n v="10000"/>
  </r>
  <r>
    <x v="1"/>
    <d v="2026-01-13T00:00:00"/>
    <x v="0"/>
    <n v="3"/>
    <n v="30000"/>
  </r>
  <r>
    <x v="10"/>
    <d v="2026-01-13T00:00:00"/>
    <x v="0"/>
    <n v="1"/>
    <n v="25000"/>
  </r>
  <r>
    <x v="11"/>
    <d v="2026-01-13T00:00:00"/>
    <x v="0"/>
    <n v="1"/>
    <n v="10000"/>
  </r>
  <r>
    <x v="23"/>
    <d v="2026-01-13T00:00:00"/>
    <x v="0"/>
    <n v="1"/>
    <n v="105000"/>
  </r>
  <r>
    <x v="6"/>
    <d v="2026-01-13T00:00:00"/>
    <x v="0"/>
    <n v="1"/>
    <n v="20000"/>
  </r>
  <r>
    <x v="4"/>
    <d v="2026-01-13T00:00:00"/>
    <x v="0"/>
    <n v="1"/>
    <n v="12000"/>
  </r>
  <r>
    <x v="3"/>
    <d v="2026-01-14T00:00:00"/>
    <x v="0"/>
    <n v="1"/>
    <n v="10000"/>
  </r>
  <r>
    <x v="2"/>
    <d v="2026-01-14T00:00:00"/>
    <x v="0"/>
    <n v="2"/>
    <n v="20000"/>
  </r>
  <r>
    <x v="4"/>
    <d v="2026-01-16T00:00:00"/>
    <x v="0"/>
    <n v="2"/>
    <n v="24000"/>
  </r>
  <r>
    <x v="1"/>
    <d v="2026-01-16T00:00:00"/>
    <x v="0"/>
    <n v="2"/>
    <n v="20000"/>
  </r>
  <r>
    <x v="24"/>
    <d v="2026-01-16T00:00:00"/>
    <x v="0"/>
    <n v="1"/>
    <n v="135000"/>
  </r>
  <r>
    <x v="8"/>
    <d v="2026-01-17T00:00:00"/>
    <x v="0"/>
    <n v="1"/>
    <n v="55000"/>
  </r>
  <r>
    <x v="4"/>
    <d v="2026-01-17T00:00:00"/>
    <x v="0"/>
    <n v="1"/>
    <n v="12000"/>
  </r>
  <r>
    <x v="25"/>
    <d v="2026-01-17T00:00:00"/>
    <x v="0"/>
    <n v="1"/>
    <n v="70000"/>
  </r>
  <r>
    <x v="26"/>
    <d v="2026-01-19T00:00:00"/>
    <x v="0"/>
    <n v="1"/>
    <n v="35000"/>
  </r>
  <r>
    <x v="2"/>
    <d v="2026-01-19T00:00:00"/>
    <x v="0"/>
    <n v="1"/>
    <n v="10000"/>
  </r>
  <r>
    <x v="7"/>
    <d v="2026-01-19T00:00:00"/>
    <x v="0"/>
    <n v="2"/>
    <n v="30000"/>
  </r>
  <r>
    <x v="3"/>
    <d v="2026-01-20T00:00:00"/>
    <x v="0"/>
    <n v="2"/>
    <n v="20000"/>
  </r>
  <r>
    <x v="6"/>
    <d v="2026-01-20T00:00:00"/>
    <x v="0"/>
    <n v="4"/>
    <n v="80000"/>
  </r>
  <r>
    <x v="27"/>
    <d v="2026-01-20T00:00:00"/>
    <x v="0"/>
    <n v="1"/>
    <n v="7000"/>
  </r>
  <r>
    <x v="10"/>
    <d v="2026-01-20T00:00:00"/>
    <x v="0"/>
    <n v="1"/>
    <n v="25000"/>
  </r>
  <r>
    <x v="4"/>
    <d v="2026-01-20T00:00:00"/>
    <x v="0"/>
    <n v="1"/>
    <n v="12000"/>
  </r>
  <r>
    <x v="1"/>
    <d v="2026-01-20T00:00:00"/>
    <x v="0"/>
    <n v="1"/>
    <n v="10000"/>
  </r>
  <r>
    <x v="28"/>
    <d v="2026-01-20T00:00:00"/>
    <x v="0"/>
    <n v="1"/>
    <n v="5000"/>
  </r>
  <r>
    <x v="9"/>
    <d v="2026-01-21T00:00:00"/>
    <x v="0"/>
    <n v="2"/>
    <n v="70000"/>
  </r>
  <r>
    <x v="29"/>
    <d v="2026-01-22T00:00:00"/>
    <x v="0"/>
    <n v="1"/>
    <n v="10000"/>
  </r>
  <r>
    <x v="3"/>
    <d v="2026-01-22T00:00:00"/>
    <x v="0"/>
    <n v="2"/>
    <n v="20000"/>
  </r>
  <r>
    <x v="12"/>
    <d v="2026-01-22T00:00:00"/>
    <x v="0"/>
    <n v="1"/>
    <n v="10000"/>
  </r>
  <r>
    <x v="17"/>
    <d v="2026-01-22T00:00:00"/>
    <x v="0"/>
    <n v="1"/>
    <n v="35000"/>
  </r>
  <r>
    <x v="2"/>
    <d v="2026-01-22T00:00:00"/>
    <x v="0"/>
    <n v="1"/>
    <n v="10000"/>
  </r>
  <r>
    <x v="6"/>
    <d v="2026-01-22T00:00:00"/>
    <x v="0"/>
    <n v="1"/>
    <n v="20000"/>
  </r>
  <r>
    <x v="4"/>
    <d v="2026-01-23T00:00:00"/>
    <x v="0"/>
    <n v="4"/>
    <n v="48000"/>
  </r>
  <r>
    <x v="29"/>
    <d v="2026-01-23T00:00:00"/>
    <x v="0"/>
    <n v="1"/>
    <n v="10000"/>
  </r>
  <r>
    <x v="19"/>
    <d v="2026-01-23T00:00:00"/>
    <x v="0"/>
    <n v="1"/>
    <n v="10000"/>
  </r>
  <r>
    <x v="30"/>
    <d v="2026-01-23T00:00:00"/>
    <x v="0"/>
    <n v="1"/>
    <n v="5000"/>
  </r>
  <r>
    <x v="17"/>
    <d v="2026-01-23T00:00:00"/>
    <x v="0"/>
    <n v="1"/>
    <n v="35000"/>
  </r>
  <r>
    <x v="6"/>
    <d v="2026-01-23T00:00:00"/>
    <x v="0"/>
    <n v="1"/>
    <n v="20000"/>
  </r>
  <r>
    <x v="6"/>
    <d v="2026-01-24T00:00:00"/>
    <x v="0"/>
    <n v="2"/>
    <n v="40000"/>
  </r>
  <r>
    <x v="1"/>
    <d v="2026-01-24T00:00:00"/>
    <x v="0"/>
    <n v="1"/>
    <n v="10000"/>
  </r>
  <r>
    <x v="31"/>
    <d v="2026-01-24T00:00:00"/>
    <x v="0"/>
    <n v="1"/>
    <n v="20000"/>
  </r>
  <r>
    <x v="4"/>
    <d v="2026-01-24T00:00:00"/>
    <x v="0"/>
    <n v="1"/>
    <n v="12000"/>
  </r>
  <r>
    <x v="12"/>
    <d v="2026-01-24T00:00:00"/>
    <x v="0"/>
    <n v="1"/>
    <n v="10000"/>
  </r>
  <r>
    <x v="2"/>
    <d v="2026-01-26T00:00:00"/>
    <x v="0"/>
    <n v="2"/>
    <n v="20000"/>
  </r>
  <r>
    <x v="2"/>
    <d v="2026-01-27T00:00:00"/>
    <x v="0"/>
    <n v="4"/>
    <n v="40000"/>
  </r>
  <r>
    <x v="32"/>
    <d v="2026-01-27T00:00:00"/>
    <x v="0"/>
    <n v="1"/>
    <n v="20000"/>
  </r>
  <r>
    <x v="30"/>
    <d v="2026-01-27T00:00:00"/>
    <x v="0"/>
    <n v="1"/>
    <n v="5000"/>
  </r>
  <r>
    <x v="17"/>
    <d v="2026-01-27T00:00:00"/>
    <x v="0"/>
    <n v="1"/>
    <n v="35000"/>
  </r>
  <r>
    <x v="24"/>
    <d v="2026-01-27T00:00:00"/>
    <x v="0"/>
    <n v="1"/>
    <n v="135000"/>
  </r>
  <r>
    <x v="6"/>
    <d v="2026-01-28T00:00:00"/>
    <x v="0"/>
    <n v="1"/>
    <n v="20000"/>
  </r>
  <r>
    <x v="27"/>
    <d v="2026-01-28T00:00:00"/>
    <x v="0"/>
    <n v="1"/>
    <n v="7000"/>
  </r>
  <r>
    <x v="2"/>
    <d v="2026-01-28T00:00:00"/>
    <x v="0"/>
    <n v="1"/>
    <n v="10000"/>
  </r>
  <r>
    <x v="1"/>
    <d v="2026-01-28T00:00:00"/>
    <x v="0"/>
    <n v="8"/>
    <n v="80000"/>
  </r>
  <r>
    <x v="4"/>
    <d v="2026-01-28T00:00:00"/>
    <x v="0"/>
    <n v="2"/>
    <n v="24000"/>
  </r>
  <r>
    <x v="10"/>
    <d v="2026-01-28T00:00:00"/>
    <x v="0"/>
    <n v="1"/>
    <n v="25000"/>
  </r>
  <r>
    <x v="12"/>
    <d v="2026-01-28T00:00:00"/>
    <x v="0"/>
    <n v="1"/>
    <n v="10000"/>
  </r>
  <r>
    <x v="8"/>
    <d v="2026-01-28T00:00:00"/>
    <x v="0"/>
    <n v="1"/>
    <n v="55000"/>
  </r>
  <r>
    <x v="10"/>
    <d v="2026-01-29T00:00:00"/>
    <x v="0"/>
    <n v="1"/>
    <n v="25000"/>
  </r>
  <r>
    <x v="4"/>
    <d v="2026-01-29T00:00:00"/>
    <x v="0"/>
    <n v="1"/>
    <n v="12000"/>
  </r>
  <r>
    <x v="24"/>
    <d v="2026-01-29T00:00:00"/>
    <x v="0"/>
    <n v="1"/>
    <n v="135000"/>
  </r>
  <r>
    <x v="2"/>
    <d v="2026-01-29T00:00:00"/>
    <x v="0"/>
    <n v="2"/>
    <n v="20000"/>
  </r>
  <r>
    <x v="6"/>
    <d v="2026-01-29T00:00:00"/>
    <x v="0"/>
    <n v="1"/>
    <n v="20000"/>
  </r>
  <r>
    <x v="1"/>
    <d v="2026-01-29T00:00:00"/>
    <x v="0"/>
    <n v="1"/>
    <n v="10000"/>
  </r>
  <r>
    <x v="27"/>
    <d v="2026-01-29T00:00:00"/>
    <x v="0"/>
    <n v="3"/>
    <n v="21000"/>
  </r>
  <r>
    <x v="17"/>
    <d v="2026-01-30T00:00:00"/>
    <x v="0"/>
    <n v="1"/>
    <n v="35000"/>
  </r>
  <r>
    <x v="1"/>
    <d v="2026-01-30T00:00:00"/>
    <x v="0"/>
    <n v="1"/>
    <n v="10000"/>
  </r>
  <r>
    <x v="3"/>
    <d v="2026-01-30T00:00:00"/>
    <x v="0"/>
    <n v="1"/>
    <n v="10000"/>
  </r>
  <r>
    <x v="28"/>
    <d v="2026-01-30T00:00:00"/>
    <x v="0"/>
    <n v="1"/>
    <n v="5000"/>
  </r>
  <r>
    <x v="1"/>
    <d v="2026-01-31T00:00:00"/>
    <x v="0"/>
    <n v="2"/>
    <n v="20000"/>
  </r>
  <r>
    <x v="9"/>
    <d v="2026-01-31T00:00:00"/>
    <x v="0"/>
    <n v="1"/>
    <n v="35000"/>
  </r>
  <r>
    <x v="33"/>
    <d v="2026-01-31T00:00:00"/>
    <x v="0"/>
    <n v="1"/>
    <n v="25000"/>
  </r>
  <r>
    <x v="2"/>
    <d v="2026-01-31T00:00:00"/>
    <x v="0"/>
    <n v="1"/>
    <n v="10000"/>
  </r>
  <r>
    <x v="27"/>
    <d v="2026-01-31T00:00:00"/>
    <x v="0"/>
    <n v="1"/>
    <n v="7000"/>
  </r>
  <r>
    <x v="11"/>
    <d v="2026-02-02T00:00:00"/>
    <x v="1"/>
    <n v="1"/>
    <n v="10000"/>
  </r>
  <r>
    <x v="6"/>
    <d v="2026-02-03T00:00:00"/>
    <x v="1"/>
    <n v="1"/>
    <n v="20000"/>
  </r>
  <r>
    <x v="2"/>
    <d v="2026-02-03T00:00:00"/>
    <x v="1"/>
    <n v="1"/>
    <n v="10000"/>
  </r>
  <r>
    <x v="1"/>
    <d v="2026-02-03T00:00:00"/>
    <x v="1"/>
    <n v="2"/>
    <n v="20000"/>
  </r>
  <r>
    <x v="6"/>
    <d v="2026-02-04T00:00:00"/>
    <x v="1"/>
    <n v="1"/>
    <n v="20000"/>
  </r>
  <r>
    <x v="4"/>
    <d v="2026-02-04T00:00:00"/>
    <x v="1"/>
    <n v="1"/>
    <n v="12000"/>
  </r>
  <r>
    <x v="27"/>
    <d v="2026-02-04T00:00:00"/>
    <x v="1"/>
    <n v="2"/>
    <n v="14000"/>
  </r>
  <r>
    <x v="10"/>
    <d v="2026-02-04T00:00:00"/>
    <x v="1"/>
    <n v="1"/>
    <n v="25000"/>
  </r>
  <r>
    <x v="7"/>
    <d v="2026-02-04T00:00:00"/>
    <x v="1"/>
    <n v="1"/>
    <n v="15000"/>
  </r>
  <r>
    <x v="1"/>
    <d v="2026-02-04T00:00:00"/>
    <x v="1"/>
    <n v="1"/>
    <n v="10000"/>
  </r>
  <r>
    <x v="17"/>
    <d v="2026-02-05T00:00:00"/>
    <x v="1"/>
    <n v="1"/>
    <n v="35000"/>
  </r>
  <r>
    <x v="1"/>
    <d v="2026-02-05T00:00:00"/>
    <x v="1"/>
    <n v="3"/>
    <n v="30000"/>
  </r>
  <r>
    <x v="34"/>
    <d v="2026-02-05T00:00:00"/>
    <x v="1"/>
    <n v="1"/>
    <n v="5000"/>
  </r>
  <r>
    <x v="33"/>
    <d v="2026-02-05T00:00:00"/>
    <x v="1"/>
    <n v="1"/>
    <n v="25000"/>
  </r>
  <r>
    <x v="13"/>
    <d v="2026-02-05T00:00:00"/>
    <x v="1"/>
    <n v="1"/>
    <n v="40000"/>
  </r>
  <r>
    <x v="3"/>
    <d v="2026-02-05T00:00:00"/>
    <x v="1"/>
    <n v="1"/>
    <n v="10000"/>
  </r>
  <r>
    <x v="14"/>
    <d v="2026-02-06T00:00:00"/>
    <x v="1"/>
    <n v="1"/>
    <n v="20000"/>
  </r>
  <r>
    <x v="2"/>
    <d v="2026-02-07T00:00:00"/>
    <x v="1"/>
    <n v="1"/>
    <n v="10000"/>
  </r>
  <r>
    <x v="1"/>
    <d v="2026-02-09T00:00:00"/>
    <x v="1"/>
    <n v="1"/>
    <n v="10000"/>
  </r>
  <r>
    <x v="6"/>
    <d v="2026-02-09T00:00:00"/>
    <x v="1"/>
    <n v="1"/>
    <n v="20000"/>
  </r>
  <r>
    <x v="9"/>
    <d v="2026-02-10T00:00:00"/>
    <x v="1"/>
    <n v="1"/>
    <n v="35000"/>
  </r>
  <r>
    <x v="31"/>
    <d v="2026-02-10T00:00:00"/>
    <x v="1"/>
    <n v="1"/>
    <n v="20000"/>
  </r>
  <r>
    <x v="6"/>
    <d v="2026-02-10T00:00:00"/>
    <x v="1"/>
    <n v="4"/>
    <n v="80000"/>
  </r>
  <r>
    <x v="35"/>
    <d v="2026-02-10T00:00:00"/>
    <x v="1"/>
    <n v="1"/>
    <n v="100000"/>
  </r>
  <r>
    <x v="4"/>
    <d v="2026-02-10T00:00:00"/>
    <x v="1"/>
    <n v="1"/>
    <n v="12000"/>
  </r>
  <r>
    <x v="17"/>
    <d v="2026-02-10T00:00:00"/>
    <x v="1"/>
    <n v="1"/>
    <n v="35000"/>
  </r>
  <r>
    <x v="12"/>
    <d v="2026-02-10T00:00:00"/>
    <x v="1"/>
    <n v="1"/>
    <n v="10000"/>
  </r>
  <r>
    <x v="9"/>
    <d v="2026-02-11T00:00:00"/>
    <x v="1"/>
    <n v="1"/>
    <n v="35000"/>
  </r>
  <r>
    <x v="1"/>
    <d v="2026-02-11T00:00:00"/>
    <x v="1"/>
    <n v="2"/>
    <n v="20000"/>
  </r>
  <r>
    <x v="6"/>
    <d v="2026-02-11T00:00:00"/>
    <x v="1"/>
    <n v="1"/>
    <n v="20000"/>
  </r>
  <r>
    <x v="9"/>
    <d v="2026-02-12T00:00:00"/>
    <x v="1"/>
    <n v="2"/>
    <n v="70000"/>
  </r>
  <r>
    <x v="4"/>
    <d v="2026-02-12T00:00:00"/>
    <x v="1"/>
    <n v="1"/>
    <n v="12000"/>
  </r>
  <r>
    <x v="3"/>
    <d v="2026-02-12T00:00:00"/>
    <x v="1"/>
    <n v="1"/>
    <n v="10000"/>
  </r>
  <r>
    <x v="27"/>
    <d v="2026-02-12T00:00:00"/>
    <x v="1"/>
    <n v="1"/>
    <n v="7000"/>
  </r>
  <r>
    <x v="17"/>
    <d v="2026-02-13T00:00:00"/>
    <x v="1"/>
    <n v="1"/>
    <n v="35000"/>
  </r>
  <r>
    <x v="1"/>
    <d v="2026-02-13T00:00:00"/>
    <x v="1"/>
    <n v="1"/>
    <n v="10000"/>
  </r>
  <r>
    <x v="3"/>
    <d v="2026-02-13T00:00:00"/>
    <x v="1"/>
    <n v="1"/>
    <n v="10000"/>
  </r>
  <r>
    <x v="18"/>
    <d v="2026-02-14T00:00:00"/>
    <x v="1"/>
    <n v="1"/>
    <n v="25000"/>
  </r>
  <r>
    <x v="36"/>
    <d v="2026-02-14T00:00:00"/>
    <x v="1"/>
    <n v="1"/>
    <n v="20000"/>
  </r>
  <r>
    <x v="6"/>
    <d v="2026-02-14T00:00:00"/>
    <x v="1"/>
    <n v="3"/>
    <n v="60000"/>
  </r>
  <r>
    <x v="17"/>
    <d v="2026-02-14T00:00:00"/>
    <x v="1"/>
    <n v="2"/>
    <n v="70000"/>
  </r>
  <r>
    <x v="2"/>
    <d v="2026-02-14T00:00:00"/>
    <x v="1"/>
    <n v="2"/>
    <n v="20000"/>
  </r>
  <r>
    <x v="10"/>
    <d v="2026-02-14T00:00:00"/>
    <x v="1"/>
    <n v="10"/>
    <n v="250000"/>
  </r>
  <r>
    <x v="1"/>
    <d v="2026-02-14T00:00:00"/>
    <x v="1"/>
    <n v="10"/>
    <n v="100000"/>
  </r>
  <r>
    <x v="4"/>
    <d v="2026-02-14T00:00:00"/>
    <x v="1"/>
    <n v="9"/>
    <n v="90000"/>
  </r>
  <r>
    <x v="6"/>
    <d v="2026-02-16T00:00:00"/>
    <x v="1"/>
    <n v="3"/>
    <n v="60000"/>
  </r>
  <r>
    <x v="27"/>
    <d v="2026-02-16T00:00:00"/>
    <x v="1"/>
    <n v="1"/>
    <n v="7000"/>
  </r>
  <r>
    <x v="2"/>
    <d v="2026-02-16T00:00:00"/>
    <x v="1"/>
    <n v="4"/>
    <n v="40000"/>
  </r>
  <r>
    <x v="28"/>
    <d v="2026-02-16T00:00:00"/>
    <x v="1"/>
    <n v="3"/>
    <n v="15000"/>
  </r>
  <r>
    <x v="37"/>
    <d v="2026-02-16T00:00:00"/>
    <x v="1"/>
    <n v="1"/>
    <n v="69000"/>
  </r>
  <r>
    <x v="1"/>
    <d v="2026-02-17T00:00:00"/>
    <x v="1"/>
    <n v="1"/>
    <n v="10000"/>
  </r>
  <r>
    <x v="6"/>
    <d v="2026-02-17T00:00:00"/>
    <x v="1"/>
    <n v="2"/>
    <n v="40000"/>
  </r>
  <r>
    <x v="2"/>
    <d v="2026-02-17T00:00:00"/>
    <x v="1"/>
    <n v="1"/>
    <n v="10000"/>
  </r>
  <r>
    <x v="17"/>
    <d v="2026-02-17T00:00:00"/>
    <x v="1"/>
    <n v="1"/>
    <n v="35000"/>
  </r>
  <r>
    <x v="38"/>
    <d v="2026-02-17T00:00:00"/>
    <x v="1"/>
    <n v="1"/>
    <n v="43000"/>
  </r>
  <r>
    <x v="31"/>
    <d v="2026-02-18T00:00:00"/>
    <x v="1"/>
    <n v="2"/>
    <n v="40000"/>
  </r>
  <r>
    <x v="6"/>
    <d v="2026-02-18T00:00:00"/>
    <x v="1"/>
    <n v="1"/>
    <n v="20000"/>
  </r>
  <r>
    <x v="3"/>
    <d v="2026-02-18T00:00:00"/>
    <x v="1"/>
    <n v="3"/>
    <n v="30000"/>
  </r>
  <r>
    <x v="9"/>
    <d v="2026-02-18T00:00:00"/>
    <x v="1"/>
    <n v="1"/>
    <n v="35000"/>
  </r>
  <r>
    <x v="17"/>
    <d v="2026-02-18T00:00:00"/>
    <x v="1"/>
    <n v="1"/>
    <n v="35000"/>
  </r>
  <r>
    <x v="6"/>
    <d v="2026-02-19T00:00:00"/>
    <x v="1"/>
    <n v="1"/>
    <n v="20000"/>
  </r>
  <r>
    <x v="2"/>
    <d v="2026-02-19T00:00:00"/>
    <x v="1"/>
    <n v="1"/>
    <n v="10000"/>
  </r>
  <r>
    <x v="6"/>
    <d v="2026-02-20T00:00:00"/>
    <x v="1"/>
    <n v="1"/>
    <n v="20000"/>
  </r>
  <r>
    <x v="1"/>
    <d v="2026-02-20T00:00:00"/>
    <x v="1"/>
    <n v="4"/>
    <n v="40000"/>
  </r>
  <r>
    <x v="2"/>
    <d v="2026-02-20T00:00:00"/>
    <x v="1"/>
    <n v="2"/>
    <n v="20000"/>
  </r>
  <r>
    <x v="4"/>
    <d v="2026-02-20T00:00:00"/>
    <x v="1"/>
    <n v="2"/>
    <n v="24000"/>
  </r>
  <r>
    <x v="12"/>
    <d v="2026-02-20T00:00:00"/>
    <x v="1"/>
    <n v="1"/>
    <n v="10000"/>
  </r>
  <r>
    <x v="10"/>
    <d v="2026-02-20T00:00:00"/>
    <x v="1"/>
    <n v="1"/>
    <n v="25000"/>
  </r>
  <r>
    <x v="39"/>
    <d v="2026-02-20T00:00:00"/>
    <x v="1"/>
    <n v="1"/>
    <n v="69000"/>
  </r>
  <r>
    <x v="35"/>
    <d v="2026-02-20T00:00:00"/>
    <x v="1"/>
    <n v="1"/>
    <n v="150000"/>
  </r>
  <r>
    <x v="9"/>
    <d v="2026-02-20T00:00:00"/>
    <x v="1"/>
    <n v="2"/>
    <n v="70000"/>
  </r>
  <r>
    <x v="12"/>
    <d v="2026-02-21T00:00:00"/>
    <x v="1"/>
    <n v="1"/>
    <n v="10000"/>
  </r>
  <r>
    <x v="4"/>
    <d v="2026-02-21T00:00:00"/>
    <x v="1"/>
    <n v="3"/>
    <n v="36000"/>
  </r>
  <r>
    <x v="40"/>
    <d v="2026-02-23T00:00:00"/>
    <x v="1"/>
    <n v="2"/>
    <n v="60000"/>
  </r>
  <r>
    <x v="6"/>
    <d v="2026-02-23T00:00:00"/>
    <x v="1"/>
    <n v="1"/>
    <n v="20000"/>
  </r>
  <r>
    <x v="27"/>
    <d v="2026-02-23T00:00:00"/>
    <x v="1"/>
    <n v="1"/>
    <n v="7000"/>
  </r>
  <r>
    <x v="4"/>
    <d v="2026-02-23T00:00:00"/>
    <x v="1"/>
    <n v="1"/>
    <n v="12000"/>
  </r>
  <r>
    <x v="7"/>
    <d v="2026-02-23T00:00:00"/>
    <x v="1"/>
    <n v="2"/>
    <n v="10000"/>
  </r>
  <r>
    <x v="2"/>
    <d v="2026-02-23T00:00:00"/>
    <x v="1"/>
    <n v="1"/>
    <n v="10000"/>
  </r>
  <r>
    <x v="29"/>
    <d v="2026-02-24T00:00:00"/>
    <x v="1"/>
    <n v="1"/>
    <n v="10000"/>
  </r>
  <r>
    <x v="9"/>
    <d v="2026-02-24T00:00:00"/>
    <x v="1"/>
    <n v="2"/>
    <n v="70000"/>
  </r>
  <r>
    <x v="2"/>
    <d v="2026-02-24T00:00:00"/>
    <x v="1"/>
    <n v="1"/>
    <n v="10000"/>
  </r>
  <r>
    <x v="27"/>
    <d v="2026-02-25T00:00:00"/>
    <x v="1"/>
    <n v="2"/>
    <n v="14000"/>
  </r>
  <r>
    <x v="17"/>
    <d v="2026-02-25T00:00:00"/>
    <x v="1"/>
    <n v="2"/>
    <n v="70000"/>
  </r>
  <r>
    <x v="2"/>
    <d v="2026-02-25T00:00:00"/>
    <x v="1"/>
    <n v="2"/>
    <n v="20000"/>
  </r>
  <r>
    <x v="4"/>
    <d v="2026-02-25T00:00:00"/>
    <x v="1"/>
    <n v="2"/>
    <n v="24000"/>
  </r>
  <r>
    <x v="3"/>
    <d v="2026-02-25T00:00:00"/>
    <x v="1"/>
    <n v="1"/>
    <n v="10000"/>
  </r>
  <r>
    <x v="12"/>
    <d v="2026-02-25T00:00:00"/>
    <x v="1"/>
    <n v="1"/>
    <n v="10000"/>
  </r>
  <r>
    <x v="31"/>
    <d v="2026-02-25T00:00:00"/>
    <x v="1"/>
    <n v="1"/>
    <n v="20000"/>
  </r>
  <r>
    <x v="1"/>
    <d v="2026-02-26T00:00:00"/>
    <x v="1"/>
    <n v="5"/>
    <n v="50000"/>
  </r>
  <r>
    <x v="2"/>
    <d v="2026-02-26T00:00:00"/>
    <x v="1"/>
    <n v="1"/>
    <n v="10000"/>
  </r>
  <r>
    <x v="4"/>
    <d v="2026-02-26T00:00:00"/>
    <x v="1"/>
    <n v="1"/>
    <n v="12000"/>
  </r>
  <r>
    <x v="41"/>
    <d v="2026-02-27T00:00:00"/>
    <x v="1"/>
    <n v="1"/>
    <n v="60000"/>
  </r>
  <r>
    <x v="1"/>
    <d v="2026-02-27T00:00:00"/>
    <x v="1"/>
    <n v="2"/>
    <n v="20000"/>
  </r>
  <r>
    <x v="3"/>
    <d v="2026-02-27T00:00:00"/>
    <x v="1"/>
    <n v="1"/>
    <n v="10000"/>
  </r>
  <r>
    <x v="29"/>
    <d v="2026-02-27T00:00:00"/>
    <x v="1"/>
    <n v="1"/>
    <n v="10000"/>
  </r>
  <r>
    <x v="2"/>
    <d v="2026-02-27T00:00:00"/>
    <x v="1"/>
    <n v="1"/>
    <n v="10000"/>
  </r>
  <r>
    <x v="32"/>
    <d v="2026-02-27T00:00:00"/>
    <x v="1"/>
    <n v="1"/>
    <n v="20000"/>
  </r>
  <r>
    <x v="4"/>
    <d v="2026-02-27T00:00:00"/>
    <x v="1"/>
    <n v="3"/>
    <n v="36000"/>
  </r>
  <r>
    <x v="12"/>
    <d v="2026-02-27T00:00:00"/>
    <x v="1"/>
    <n v="1"/>
    <n v="10000"/>
  </r>
  <r>
    <x v="10"/>
    <d v="2026-02-27T00:00:00"/>
    <x v="1"/>
    <n v="1"/>
    <n v="25000"/>
  </r>
  <r>
    <x v="1"/>
    <d v="2026-02-28T00:00:00"/>
    <x v="1"/>
    <n v="4"/>
    <n v="40000"/>
  </r>
  <r>
    <x v="2"/>
    <d v="2026-02-28T00:00:00"/>
    <x v="1"/>
    <n v="2"/>
    <n v="20000"/>
  </r>
  <r>
    <x v="6"/>
    <d v="2026-02-28T00:00:00"/>
    <x v="1"/>
    <n v="2"/>
    <n v="40000"/>
  </r>
  <r>
    <x v="10"/>
    <d v="2026-02-28T00:00:00"/>
    <x v="1"/>
    <n v="1"/>
    <n v="25000"/>
  </r>
  <r>
    <x v="17"/>
    <d v="2026-02-28T00:00:00"/>
    <x v="1"/>
    <n v="1"/>
    <n v="35000"/>
  </r>
  <r>
    <x v="27"/>
    <d v="2026-02-28T00:00:00"/>
    <x v="1"/>
    <n v="1"/>
    <n v="7000"/>
  </r>
  <r>
    <x v="4"/>
    <d v="2026-02-28T00:00:00"/>
    <x v="1"/>
    <n v="1"/>
    <n v="12000"/>
  </r>
  <r>
    <x v="6"/>
    <d v="2026-03-02T00:00:00"/>
    <x v="2"/>
    <n v="1"/>
    <n v="20000"/>
  </r>
  <r>
    <x v="3"/>
    <d v="2026-03-02T00:00:00"/>
    <x v="2"/>
    <n v="1"/>
    <n v="10000"/>
  </r>
  <r>
    <x v="12"/>
    <d v="2026-03-02T00:00:00"/>
    <x v="2"/>
    <n v="1"/>
    <n v="10000"/>
  </r>
  <r>
    <x v="9"/>
    <d v="2026-03-02T00:00:00"/>
    <x v="2"/>
    <n v="1"/>
    <n v="35000"/>
  </r>
  <r>
    <x v="42"/>
    <d v="2026-03-03T00:00:00"/>
    <x v="2"/>
    <n v="1"/>
    <n v="10000"/>
  </r>
  <r>
    <x v="4"/>
    <d v="2026-03-04T00:00:00"/>
    <x v="2"/>
    <n v="1"/>
    <n v="12000"/>
  </r>
  <r>
    <x v="1"/>
    <d v="2026-03-04T00:00:00"/>
    <x v="2"/>
    <n v="1"/>
    <n v="10000"/>
  </r>
  <r>
    <x v="9"/>
    <d v="2026-03-04T00:00:00"/>
    <x v="2"/>
    <n v="1"/>
    <n v="35000"/>
  </r>
  <r>
    <x v="3"/>
    <d v="2026-03-05T00:00:00"/>
    <x v="2"/>
    <n v="1"/>
    <n v="10000"/>
  </r>
  <r>
    <x v="42"/>
    <d v="2026-03-06T00:00:00"/>
    <x v="2"/>
    <n v="1"/>
    <n v="10000"/>
  </r>
  <r>
    <x v="4"/>
    <d v="2026-03-06T00:00:00"/>
    <x v="2"/>
    <n v="5"/>
    <n v="60000"/>
  </r>
  <r>
    <x v="12"/>
    <d v="2026-03-06T00:00:00"/>
    <x v="2"/>
    <n v="5"/>
    <n v="50000"/>
  </r>
  <r>
    <x v="29"/>
    <d v="2026-03-06T00:00:00"/>
    <x v="2"/>
    <n v="2"/>
    <n v="20000"/>
  </r>
  <r>
    <x v="1"/>
    <d v="2026-03-06T00:00:00"/>
    <x v="2"/>
    <n v="3"/>
    <n v="30000"/>
  </r>
  <r>
    <x v="9"/>
    <d v="2026-03-09T00:00:00"/>
    <x v="2"/>
    <n v="2"/>
    <n v="70000"/>
  </r>
  <r>
    <x v="6"/>
    <d v="2026-03-09T00:00:00"/>
    <x v="2"/>
    <n v="4"/>
    <n v="80000"/>
  </r>
  <r>
    <x v="1"/>
    <d v="2026-03-09T00:00:00"/>
    <x v="2"/>
    <n v="3"/>
    <n v="30000"/>
  </r>
  <r>
    <x v="4"/>
    <d v="2026-03-09T00:00:00"/>
    <x v="2"/>
    <n v="5"/>
    <n v="60000"/>
  </r>
  <r>
    <x v="8"/>
    <d v="2026-03-09T00:00:00"/>
    <x v="2"/>
    <n v="2"/>
    <n v="110000"/>
  </r>
  <r>
    <x v="12"/>
    <d v="2026-03-09T00:00:00"/>
    <x v="2"/>
    <n v="4"/>
    <n v="40000"/>
  </r>
  <r>
    <x v="10"/>
    <d v="2026-03-09T00:00:00"/>
    <x v="2"/>
    <n v="1"/>
    <n v="25000"/>
  </r>
  <r>
    <x v="2"/>
    <d v="2026-03-10T00:00:00"/>
    <x v="2"/>
    <n v="4"/>
    <n v="40000"/>
  </r>
  <r>
    <x v="18"/>
    <d v="2026-03-10T00:00:00"/>
    <x v="2"/>
    <n v="1"/>
    <n v="20000"/>
  </r>
  <r>
    <x v="12"/>
    <d v="2026-03-10T00:00:00"/>
    <x v="2"/>
    <n v="1"/>
    <n v="10000"/>
  </r>
  <r>
    <x v="4"/>
    <d v="2026-03-10T00:00:00"/>
    <x v="2"/>
    <n v="1"/>
    <n v="12000"/>
  </r>
  <r>
    <x v="9"/>
    <d v="2026-03-12T00:00:00"/>
    <x v="2"/>
    <n v="2"/>
    <n v="70000"/>
  </r>
  <r>
    <x v="2"/>
    <d v="2026-03-12T00:00:00"/>
    <x v="2"/>
    <n v="1"/>
    <n v="10000"/>
  </r>
  <r>
    <x v="12"/>
    <d v="2026-03-12T00:00:00"/>
    <x v="2"/>
    <n v="2"/>
    <n v="20000"/>
  </r>
  <r>
    <x v="4"/>
    <d v="2026-03-12T00:00:00"/>
    <x v="2"/>
    <n v="2"/>
    <n v="24000"/>
  </r>
  <r>
    <x v="4"/>
    <d v="2026-03-13T00:00:00"/>
    <x v="2"/>
    <n v="1"/>
    <n v="12000"/>
  </r>
  <r>
    <x v="10"/>
    <d v="2026-03-13T00:00:00"/>
    <x v="2"/>
    <n v="1"/>
    <n v="25000"/>
  </r>
  <r>
    <x v="2"/>
    <d v="2026-03-13T00:00:00"/>
    <x v="2"/>
    <n v="1"/>
    <n v="10000"/>
  </r>
  <r>
    <x v="6"/>
    <d v="2026-03-14T00:00:00"/>
    <x v="2"/>
    <n v="1"/>
    <n v="20000"/>
  </r>
  <r>
    <x v="2"/>
    <d v="2026-03-14T00:00:00"/>
    <x v="2"/>
    <n v="2"/>
    <n v="20000"/>
  </r>
  <r>
    <x v="42"/>
    <d v="2026-03-14T00:00:00"/>
    <x v="2"/>
    <n v="1"/>
    <n v="10000"/>
  </r>
  <r>
    <x v="1"/>
    <d v="2026-03-16T00:00:00"/>
    <x v="2"/>
    <n v="6"/>
    <n v="60000"/>
  </r>
  <r>
    <x v="9"/>
    <d v="2026-03-17T00:00:00"/>
    <x v="2"/>
    <n v="1"/>
    <n v="35000"/>
  </r>
  <r>
    <x v="4"/>
    <d v="2026-03-17T00:00:00"/>
    <x v="2"/>
    <n v="4"/>
    <n v="48000"/>
  </r>
  <r>
    <x v="1"/>
    <d v="2026-03-17T00:00:00"/>
    <x v="2"/>
    <n v="6"/>
    <n v="60000"/>
  </r>
  <r>
    <x v="10"/>
    <d v="2026-03-17T00:00:00"/>
    <x v="2"/>
    <n v="4"/>
    <n v="100000"/>
  </r>
  <r>
    <x v="13"/>
    <d v="2026-03-17T00:00:00"/>
    <x v="2"/>
    <n v="1"/>
    <n v="35000"/>
  </r>
  <r>
    <x v="17"/>
    <d v="2026-03-17T00:00:00"/>
    <x v="2"/>
    <n v="1"/>
    <n v="35000"/>
  </r>
  <r>
    <x v="2"/>
    <d v="2026-03-17T00:00:00"/>
    <x v="2"/>
    <n v="1"/>
    <n v="10000"/>
  </r>
  <r>
    <x v="12"/>
    <d v="2026-03-17T00:00:00"/>
    <x v="2"/>
    <n v="1"/>
    <n v="10000"/>
  </r>
  <r>
    <x v="6"/>
    <d v="2026-03-17T00:00:00"/>
    <x v="2"/>
    <n v="2"/>
    <n v="40000"/>
  </r>
  <r>
    <x v="7"/>
    <d v="2026-03-17T00:00:00"/>
    <x v="2"/>
    <n v="1"/>
    <n v="15000"/>
  </r>
  <r>
    <x v="6"/>
    <d v="2026-03-18T00:00:00"/>
    <x v="2"/>
    <n v="1"/>
    <n v="20000"/>
  </r>
  <r>
    <x v="9"/>
    <d v="2026-03-19T00:00:00"/>
    <x v="2"/>
    <n v="1"/>
    <n v="35000"/>
  </r>
  <r>
    <x v="1"/>
    <d v="2026-03-19T00:00:00"/>
    <x v="2"/>
    <n v="1"/>
    <n v="10000"/>
  </r>
  <r>
    <x v="43"/>
    <d v="2026-03-19T00:00:00"/>
    <x v="2"/>
    <n v="1"/>
    <n v="10000"/>
  </r>
  <r>
    <x v="7"/>
    <d v="2026-03-19T00:00:00"/>
    <x v="2"/>
    <n v="1"/>
    <n v="15000"/>
  </r>
  <r>
    <x v="32"/>
    <d v="2026-03-20T00:00:00"/>
    <x v="2"/>
    <n v="3"/>
    <n v="60000"/>
  </r>
  <r>
    <x v="1"/>
    <d v="2026-03-20T00:00:00"/>
    <x v="2"/>
    <n v="1"/>
    <n v="10000"/>
  </r>
  <r>
    <x v="6"/>
    <d v="2026-03-20T00:00:00"/>
    <x v="2"/>
    <n v="1"/>
    <n v="20000"/>
  </r>
  <r>
    <x v="33"/>
    <d v="2026-03-23T00:00:00"/>
    <x v="2"/>
    <n v="4"/>
    <n v="80000"/>
  </r>
  <r>
    <x v="41"/>
    <d v="2026-03-23T00:00:00"/>
    <x v="2"/>
    <n v="1"/>
    <n v="60000"/>
  </r>
  <r>
    <x v="9"/>
    <d v="2026-03-23T00:00:00"/>
    <x v="2"/>
    <n v="2"/>
    <n v="70000"/>
  </r>
  <r>
    <x v="29"/>
    <d v="2026-03-23T00:00:00"/>
    <x v="2"/>
    <n v="1"/>
    <n v="10000"/>
  </r>
  <r>
    <x v="12"/>
    <d v="2026-03-23T00:00:00"/>
    <x v="2"/>
    <n v="1"/>
    <n v="10000"/>
  </r>
  <r>
    <x v="13"/>
    <d v="2026-03-23T00:00:00"/>
    <x v="2"/>
    <n v="1"/>
    <n v="40000"/>
  </r>
  <r>
    <x v="4"/>
    <d v="2026-03-23T00:00:00"/>
    <x v="2"/>
    <n v="1"/>
    <n v="12000"/>
  </r>
  <r>
    <x v="1"/>
    <d v="2026-03-23T00:00:00"/>
    <x v="2"/>
    <n v="1"/>
    <n v="10000"/>
  </r>
  <r>
    <x v="2"/>
    <d v="2026-03-23T00:00:00"/>
    <x v="2"/>
    <n v="1"/>
    <n v="10000"/>
  </r>
  <r>
    <x v="4"/>
    <d v="2026-03-24T00:00:00"/>
    <x v="2"/>
    <n v="2"/>
    <n v="24000"/>
  </r>
  <r>
    <x v="9"/>
    <d v="2026-03-24T00:00:00"/>
    <x v="2"/>
    <n v="2"/>
    <n v="70000"/>
  </r>
  <r>
    <x v="2"/>
    <d v="2026-03-24T00:00:00"/>
    <x v="2"/>
    <n v="1"/>
    <n v="10000"/>
  </r>
  <r>
    <x v="1"/>
    <d v="2026-03-24T00:00:00"/>
    <x v="2"/>
    <n v="1"/>
    <n v="10000"/>
  </r>
  <r>
    <x v="3"/>
    <d v="2026-03-24T00:00:00"/>
    <x v="2"/>
    <n v="1"/>
    <n v="10000"/>
  </r>
  <r>
    <x v="17"/>
    <d v="2026-03-25T00:00:00"/>
    <x v="2"/>
    <n v="2"/>
    <n v="70000"/>
  </r>
  <r>
    <x v="8"/>
    <d v="2026-03-25T00:00:00"/>
    <x v="2"/>
    <n v="1"/>
    <n v="55000"/>
  </r>
  <r>
    <x v="1"/>
    <d v="2026-03-26T00:00:00"/>
    <x v="2"/>
    <n v="2"/>
    <n v="20000"/>
  </r>
  <r>
    <x v="3"/>
    <d v="2026-03-26T00:00:00"/>
    <x v="2"/>
    <n v="1"/>
    <n v="10000"/>
  </r>
  <r>
    <x v="2"/>
    <d v="2026-03-26T00:00:00"/>
    <x v="2"/>
    <n v="1"/>
    <n v="10000"/>
  </r>
  <r>
    <x v="14"/>
    <d v="2026-03-27T00:00:00"/>
    <x v="2"/>
    <n v="1"/>
    <n v="20000"/>
  </r>
  <r>
    <x v="1"/>
    <d v="2026-03-27T00:00:00"/>
    <x v="2"/>
    <n v="3"/>
    <n v="30000"/>
  </r>
  <r>
    <x v="44"/>
    <d v="2026-03-28T00:00:00"/>
    <x v="2"/>
    <n v="1"/>
    <n v="40000"/>
  </r>
  <r>
    <x v="17"/>
    <d v="2026-03-28T00:00:00"/>
    <x v="2"/>
    <n v="2"/>
    <n v="70000"/>
  </r>
  <r>
    <x v="33"/>
    <d v="2026-03-28T00:00:00"/>
    <x v="2"/>
    <n v="1"/>
    <n v="25000"/>
  </r>
  <r>
    <x v="2"/>
    <d v="2026-03-28T00:00:00"/>
    <x v="2"/>
    <n v="2"/>
    <n v="20000"/>
  </r>
  <r>
    <x v="1"/>
    <d v="2026-03-28T00:00:00"/>
    <x v="2"/>
    <n v="2"/>
    <n v="20000"/>
  </r>
  <r>
    <x v="3"/>
    <d v="2026-03-28T00:00:00"/>
    <x v="2"/>
    <n v="1"/>
    <n v="10000"/>
  </r>
  <r>
    <x v="18"/>
    <d v="2026-03-28T00:00:00"/>
    <x v="2"/>
    <n v="1"/>
    <n v="30000"/>
  </r>
  <r>
    <x v="32"/>
    <d v="2026-03-28T00:00:00"/>
    <x v="2"/>
    <n v="1"/>
    <n v="20000"/>
  </r>
  <r>
    <x v="6"/>
    <d v="2026-03-28T00:00:00"/>
    <x v="2"/>
    <n v="1"/>
    <n v="20000"/>
  </r>
  <r>
    <x v="0"/>
    <d v="2026-03-28T00:00:00"/>
    <x v="2"/>
    <n v="1"/>
    <n v="20000"/>
  </r>
  <r>
    <x v="7"/>
    <d v="2026-03-28T00:00:00"/>
    <x v="2"/>
    <n v="1"/>
    <n v="15000"/>
  </r>
  <r>
    <x v="4"/>
    <d v="2026-03-28T00:00:00"/>
    <x v="2"/>
    <n v="1"/>
    <n v="12000"/>
  </r>
  <r>
    <x v="13"/>
    <d v="2026-03-28T00:00:00"/>
    <x v="2"/>
    <n v="1"/>
    <n v="40000"/>
  </r>
  <r>
    <x v="27"/>
    <d v="2026-03-30T00:00:00"/>
    <x v="2"/>
    <n v="1"/>
    <n v="7000"/>
  </r>
  <r>
    <x v="6"/>
    <d v="2026-03-30T00:00:00"/>
    <x v="2"/>
    <n v="1"/>
    <n v="20000"/>
  </r>
  <r>
    <x v="13"/>
    <d v="2026-03-30T00:00:00"/>
    <x v="2"/>
    <n v="1"/>
    <n v="40000"/>
  </r>
  <r>
    <x v="10"/>
    <d v="2026-03-30T00:00:00"/>
    <x v="2"/>
    <n v="1"/>
    <n v="25000"/>
  </r>
  <r>
    <x v="4"/>
    <d v="2026-03-31T00:00:00"/>
    <x v="2"/>
    <n v="1"/>
    <n v="12000"/>
  </r>
  <r>
    <x v="1"/>
    <d v="2026-03-31T00:00:00"/>
    <x v="2"/>
    <n v="1"/>
    <n v="10000"/>
  </r>
  <r>
    <x v="6"/>
    <d v="2026-03-31T00:00:00"/>
    <x v="2"/>
    <n v="1"/>
    <n v="20000"/>
  </r>
  <r>
    <x v="2"/>
    <d v="2026-03-31T00:00:00"/>
    <x v="2"/>
    <n v="1"/>
    <n v="15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x v="0"/>
    <d v="2025-10-08T00:00:00"/>
    <x v="0"/>
    <n v="1"/>
    <n v="35000"/>
  </r>
  <r>
    <x v="1"/>
    <d v="2025-10-09T00:00:00"/>
    <x v="0"/>
    <n v="2"/>
    <n v="70000"/>
  </r>
  <r>
    <x v="2"/>
    <d v="2025-10-09T00:00:00"/>
    <x v="0"/>
    <n v="2"/>
    <n v="40000"/>
  </r>
  <r>
    <x v="3"/>
    <d v="2025-10-09T00:00:00"/>
    <x v="0"/>
    <n v="1"/>
    <n v="35000"/>
  </r>
  <r>
    <x v="2"/>
    <d v="2025-10-10T00:00:00"/>
    <x v="0"/>
    <n v="2"/>
    <n v="40000"/>
  </r>
  <r>
    <x v="4"/>
    <d v="2025-10-10T00:00:00"/>
    <x v="0"/>
    <n v="1"/>
    <n v="20000"/>
  </r>
  <r>
    <x v="5"/>
    <d v="2025-10-10T00:00:00"/>
    <x v="0"/>
    <n v="1"/>
    <n v="0"/>
  </r>
  <r>
    <x v="6"/>
    <d v="2025-10-10T00:00:00"/>
    <x v="0"/>
    <n v="1"/>
    <n v="10000"/>
  </r>
  <r>
    <x v="6"/>
    <d v="2025-10-11T00:00:00"/>
    <x v="0"/>
    <n v="2"/>
    <n v="20000"/>
  </r>
  <r>
    <x v="5"/>
    <d v="2025-10-11T00:00:00"/>
    <x v="0"/>
    <n v="1"/>
    <n v="0"/>
  </r>
  <r>
    <x v="7"/>
    <d v="2025-10-11T00:00:00"/>
    <x v="0"/>
    <n v="1"/>
    <n v="25000"/>
  </r>
  <r>
    <x v="4"/>
    <d v="2025-10-11T00:00:00"/>
    <x v="0"/>
    <n v="1"/>
    <n v="20000"/>
  </r>
  <r>
    <x v="2"/>
    <d v="2025-10-11T00:00:00"/>
    <x v="0"/>
    <n v="1"/>
    <n v="20000"/>
  </r>
  <r>
    <x v="1"/>
    <d v="2025-10-13T00:00:00"/>
    <x v="0"/>
    <n v="2"/>
    <n v="70000"/>
  </r>
  <r>
    <x v="6"/>
    <d v="2025-10-13T00:00:00"/>
    <x v="0"/>
    <n v="1"/>
    <n v="10000"/>
  </r>
  <r>
    <x v="8"/>
    <d v="2025-10-13T00:00:00"/>
    <x v="0"/>
    <n v="1"/>
    <n v="10000"/>
  </r>
  <r>
    <x v="6"/>
    <d v="2025-10-15T00:00:00"/>
    <x v="0"/>
    <n v="1"/>
    <n v="10000"/>
  </r>
  <r>
    <x v="9"/>
    <d v="2025-10-15T00:00:00"/>
    <x v="0"/>
    <n v="1"/>
    <n v="10000"/>
  </r>
  <r>
    <x v="2"/>
    <d v="2025-10-15T00:00:00"/>
    <x v="0"/>
    <n v="1"/>
    <n v="20000"/>
  </r>
  <r>
    <x v="10"/>
    <d v="2025-10-15T00:00:00"/>
    <x v="0"/>
    <n v="1"/>
    <n v="20000"/>
  </r>
  <r>
    <x v="1"/>
    <d v="2025-10-18T00:00:00"/>
    <x v="0"/>
    <n v="1"/>
    <n v="35000"/>
  </r>
  <r>
    <x v="11"/>
    <d v="2025-10-18T00:00:00"/>
    <x v="0"/>
    <n v="1"/>
    <n v="25000"/>
  </r>
  <r>
    <x v="4"/>
    <d v="2025-10-18T00:00:00"/>
    <x v="0"/>
    <n v="1"/>
    <n v="20000"/>
  </r>
  <r>
    <x v="6"/>
    <d v="2025-10-18T00:00:00"/>
    <x v="0"/>
    <n v="1"/>
    <n v="10000"/>
  </r>
  <r>
    <x v="8"/>
    <d v="2025-10-18T00:00:00"/>
    <x v="0"/>
    <n v="1"/>
    <n v="10000"/>
  </r>
  <r>
    <x v="12"/>
    <d v="2025-10-18T00:00:00"/>
    <x v="0"/>
    <n v="1"/>
    <n v="5000"/>
  </r>
  <r>
    <x v="4"/>
    <d v="2025-10-21T00:00:00"/>
    <x v="0"/>
    <n v="1"/>
    <n v="20000"/>
  </r>
  <r>
    <x v="13"/>
    <d v="2025-10-21T00:00:00"/>
    <x v="0"/>
    <n v="2"/>
    <n v="20000"/>
  </r>
  <r>
    <x v="0"/>
    <d v="2025-10-23T00:00:00"/>
    <x v="0"/>
    <n v="2"/>
    <n v="70000"/>
  </r>
  <r>
    <x v="5"/>
    <d v="2025-10-23T00:00:00"/>
    <x v="0"/>
    <n v="2"/>
    <n v="0"/>
  </r>
  <r>
    <x v="6"/>
    <d v="2025-10-23T00:00:00"/>
    <x v="0"/>
    <n v="2"/>
    <n v="20000"/>
  </r>
  <r>
    <x v="1"/>
    <d v="2025-10-23T00:00:00"/>
    <x v="0"/>
    <n v="1"/>
    <n v="35000"/>
  </r>
  <r>
    <x v="4"/>
    <d v="2025-10-23T00:00:00"/>
    <x v="0"/>
    <n v="1"/>
    <n v="20000"/>
  </r>
  <r>
    <x v="6"/>
    <d v="2025-10-24T00:00:00"/>
    <x v="0"/>
    <n v="1"/>
    <n v="10000"/>
  </r>
  <r>
    <x v="5"/>
    <d v="2025-10-24T00:00:00"/>
    <x v="0"/>
    <n v="1"/>
    <n v="0"/>
  </r>
  <r>
    <x v="4"/>
    <d v="2025-10-24T00:00:00"/>
    <x v="0"/>
    <n v="1"/>
    <n v="20000"/>
  </r>
  <r>
    <x v="13"/>
    <d v="2025-10-24T00:00:00"/>
    <x v="0"/>
    <n v="2"/>
    <n v="20000"/>
  </r>
  <r>
    <x v="8"/>
    <d v="2025-10-24T00:00:00"/>
    <x v="0"/>
    <n v="1"/>
    <n v="10000"/>
  </r>
  <r>
    <x v="10"/>
    <d v="2025-10-24T00:00:00"/>
    <x v="0"/>
    <n v="4"/>
    <n v="80000"/>
  </r>
  <r>
    <x v="14"/>
    <d v="2025-10-24T00:00:00"/>
    <x v="0"/>
    <n v="1"/>
    <n v="17000"/>
  </r>
  <r>
    <x v="0"/>
    <d v="2025-10-24T00:00:00"/>
    <x v="0"/>
    <n v="1"/>
    <n v="35000"/>
  </r>
  <r>
    <x v="0"/>
    <d v="2025-10-25T00:00:00"/>
    <x v="0"/>
    <n v="1"/>
    <n v="35000"/>
  </r>
  <r>
    <x v="6"/>
    <d v="2025-10-25T00:00:00"/>
    <x v="0"/>
    <n v="3"/>
    <n v="30000"/>
  </r>
  <r>
    <x v="5"/>
    <d v="2025-10-25T00:00:00"/>
    <x v="0"/>
    <n v="1"/>
    <n v="0"/>
  </r>
  <r>
    <x v="15"/>
    <d v="2025-10-25T00:00:00"/>
    <x v="0"/>
    <n v="1"/>
    <n v="15000"/>
  </r>
  <r>
    <x v="16"/>
    <d v="2025-10-25T00:00:00"/>
    <x v="0"/>
    <n v="1"/>
    <n v="55000"/>
  </r>
  <r>
    <x v="17"/>
    <d v="2025-10-25T00:00:00"/>
    <x v="0"/>
    <n v="1"/>
    <n v="25000"/>
  </r>
  <r>
    <x v="3"/>
    <d v="2025-10-25T00:00:00"/>
    <x v="0"/>
    <n v="1"/>
    <n v="35000"/>
  </r>
  <r>
    <x v="13"/>
    <d v="2025-10-25T00:00:00"/>
    <x v="0"/>
    <n v="1"/>
    <n v="10000"/>
  </r>
  <r>
    <x v="7"/>
    <d v="2025-10-25T00:00:00"/>
    <x v="0"/>
    <n v="1"/>
    <n v="25000"/>
  </r>
  <r>
    <x v="3"/>
    <d v="2025-10-27T00:00:00"/>
    <x v="0"/>
    <n v="4"/>
    <n v="140000"/>
  </r>
  <r>
    <x v="0"/>
    <d v="2025-10-27T00:00:00"/>
    <x v="0"/>
    <n v="1"/>
    <n v="35000"/>
  </r>
  <r>
    <x v="4"/>
    <d v="2025-10-27T00:00:00"/>
    <x v="0"/>
    <n v="7"/>
    <n v="140000"/>
  </r>
  <r>
    <x v="5"/>
    <d v="2025-10-27T00:00:00"/>
    <x v="0"/>
    <n v="7"/>
    <n v="0"/>
  </r>
  <r>
    <x v="13"/>
    <d v="2025-10-27T00:00:00"/>
    <x v="0"/>
    <n v="3"/>
    <n v="30000"/>
  </r>
  <r>
    <x v="6"/>
    <d v="2025-10-27T00:00:00"/>
    <x v="0"/>
    <n v="5"/>
    <n v="50000"/>
  </r>
  <r>
    <x v="18"/>
    <d v="2025-10-27T00:00:00"/>
    <x v="0"/>
    <n v="7"/>
    <n v="84000"/>
  </r>
  <r>
    <x v="19"/>
    <d v="2025-10-27T00:00:00"/>
    <x v="0"/>
    <n v="1"/>
    <n v="25000"/>
  </r>
  <r>
    <x v="2"/>
    <d v="2025-10-27T00:00:00"/>
    <x v="0"/>
    <n v="1"/>
    <n v="20000"/>
  </r>
  <r>
    <x v="8"/>
    <d v="2025-10-27T00:00:00"/>
    <x v="0"/>
    <n v="4"/>
    <n v="40000"/>
  </r>
  <r>
    <x v="7"/>
    <d v="2025-10-27T00:00:00"/>
    <x v="0"/>
    <n v="1"/>
    <n v="25000"/>
  </r>
  <r>
    <x v="3"/>
    <d v="2025-10-28T00:00:00"/>
    <x v="0"/>
    <n v="2"/>
    <n v="70000"/>
  </r>
  <r>
    <x v="4"/>
    <d v="2025-10-28T00:00:00"/>
    <x v="0"/>
    <n v="1"/>
    <n v="20000"/>
  </r>
  <r>
    <x v="8"/>
    <d v="2025-10-28T00:00:00"/>
    <x v="0"/>
    <n v="1"/>
    <n v="10000"/>
  </r>
  <r>
    <x v="6"/>
    <d v="2025-10-28T00:00:00"/>
    <x v="0"/>
    <n v="1"/>
    <n v="10000"/>
  </r>
  <r>
    <x v="5"/>
    <d v="2025-11-04T00:00:00"/>
    <x v="1"/>
    <n v="3"/>
    <n v="0"/>
  </r>
  <r>
    <x v="6"/>
    <d v="2025-11-05T00:00:00"/>
    <x v="1"/>
    <n v="1"/>
    <n v="10000"/>
  </r>
  <r>
    <x v="18"/>
    <d v="2025-11-05T00:00:00"/>
    <x v="1"/>
    <n v="2"/>
    <n v="24000"/>
  </r>
  <r>
    <x v="2"/>
    <d v="2025-11-05T00:00:00"/>
    <x v="1"/>
    <n v="1"/>
    <n v="20000"/>
  </r>
  <r>
    <x v="1"/>
    <d v="2025-11-05T00:00:00"/>
    <x v="1"/>
    <n v="1"/>
    <n v="35000"/>
  </r>
  <r>
    <x v="4"/>
    <d v="2025-11-05T00:00:00"/>
    <x v="1"/>
    <n v="1"/>
    <n v="20000"/>
  </r>
  <r>
    <x v="20"/>
    <d v="2025-11-05T00:00:00"/>
    <x v="1"/>
    <n v="1"/>
    <n v="60000"/>
  </r>
  <r>
    <x v="19"/>
    <d v="2025-11-05T00:00:00"/>
    <x v="1"/>
    <n v="1"/>
    <n v="25000"/>
  </r>
  <r>
    <x v="8"/>
    <d v="2025-11-05T00:00:00"/>
    <x v="1"/>
    <n v="1"/>
    <n v="10000"/>
  </r>
  <r>
    <x v="0"/>
    <d v="2025-11-05T00:00:00"/>
    <x v="1"/>
    <n v="1"/>
    <n v="35000"/>
  </r>
  <r>
    <x v="5"/>
    <d v="2025-11-05T00:00:00"/>
    <x v="1"/>
    <n v="2"/>
    <n v="0"/>
  </r>
  <r>
    <x v="6"/>
    <d v="2025-11-06T00:00:00"/>
    <x v="1"/>
    <n v="1"/>
    <n v="10000"/>
  </r>
  <r>
    <x v="3"/>
    <d v="2025-11-06T00:00:00"/>
    <x v="1"/>
    <n v="1"/>
    <n v="35000"/>
  </r>
  <r>
    <x v="13"/>
    <d v="2025-11-07T00:00:00"/>
    <x v="1"/>
    <n v="1"/>
    <n v="10000"/>
  </r>
  <r>
    <x v="6"/>
    <d v="2025-11-07T00:00:00"/>
    <x v="1"/>
    <n v="1"/>
    <n v="10000"/>
  </r>
  <r>
    <x v="20"/>
    <d v="2025-11-07T00:00:00"/>
    <x v="1"/>
    <n v="1"/>
    <n v="60000"/>
  </r>
  <r>
    <x v="6"/>
    <d v="2025-11-08T00:00:00"/>
    <x v="1"/>
    <n v="1"/>
    <n v="10000"/>
  </r>
  <r>
    <x v="13"/>
    <d v="2025-11-08T00:00:00"/>
    <x v="1"/>
    <n v="1"/>
    <n v="10000"/>
  </r>
  <r>
    <x v="8"/>
    <d v="2025-11-10T00:00:00"/>
    <x v="1"/>
    <n v="1"/>
    <n v="10000"/>
  </r>
  <r>
    <x v="5"/>
    <d v="2025-11-10T00:00:00"/>
    <x v="1"/>
    <n v="1"/>
    <n v="0"/>
  </r>
  <r>
    <x v="16"/>
    <d v="2025-11-10T00:00:00"/>
    <x v="1"/>
    <n v="1"/>
    <n v="55000"/>
  </r>
  <r>
    <x v="6"/>
    <d v="2025-11-10T00:00:00"/>
    <x v="1"/>
    <n v="1"/>
    <n v="10000"/>
  </r>
  <r>
    <x v="4"/>
    <d v="2025-11-11T00:00:00"/>
    <x v="1"/>
    <n v="1"/>
    <n v="20000"/>
  </r>
  <r>
    <x v="13"/>
    <d v="2025-11-11T00:00:00"/>
    <x v="1"/>
    <n v="1"/>
    <n v="10000"/>
  </r>
  <r>
    <x v="4"/>
    <d v="2025-11-12T00:00:00"/>
    <x v="1"/>
    <n v="1"/>
    <n v="20000"/>
  </r>
  <r>
    <x v="18"/>
    <d v="2025-11-12T00:00:00"/>
    <x v="1"/>
    <n v="1"/>
    <n v="12000"/>
  </r>
  <r>
    <x v="6"/>
    <d v="2025-11-12T00:00:00"/>
    <x v="1"/>
    <n v="1"/>
    <n v="10000"/>
  </r>
  <r>
    <x v="7"/>
    <d v="2025-11-12T00:00:00"/>
    <x v="1"/>
    <n v="1"/>
    <n v="25000"/>
  </r>
  <r>
    <x v="4"/>
    <d v="2025-11-13T00:00:00"/>
    <x v="1"/>
    <n v="2"/>
    <n v="40000"/>
  </r>
  <r>
    <x v="18"/>
    <d v="2025-11-13T00:00:00"/>
    <x v="1"/>
    <n v="3"/>
    <n v="36000"/>
  </r>
  <r>
    <x v="4"/>
    <d v="2025-11-14T00:00:00"/>
    <x v="1"/>
    <n v="1"/>
    <n v="20000"/>
  </r>
  <r>
    <x v="5"/>
    <d v="2025-11-14T00:00:00"/>
    <x v="1"/>
    <n v="1"/>
    <n v="0"/>
  </r>
  <r>
    <x v="6"/>
    <d v="2025-11-14T00:00:00"/>
    <x v="1"/>
    <n v="1"/>
    <n v="10000"/>
  </r>
  <r>
    <x v="18"/>
    <d v="2025-11-15T00:00:00"/>
    <x v="1"/>
    <n v="1"/>
    <n v="12000"/>
  </r>
  <r>
    <x v="5"/>
    <d v="2025-11-17T00:00:00"/>
    <x v="1"/>
    <n v="4"/>
    <n v="0"/>
  </r>
  <r>
    <x v="4"/>
    <d v="2025-11-18T00:00:00"/>
    <x v="1"/>
    <n v="2"/>
    <n v="40000"/>
  </r>
  <r>
    <x v="13"/>
    <d v="2025-11-18T00:00:00"/>
    <x v="1"/>
    <n v="4"/>
    <n v="40000"/>
  </r>
  <r>
    <x v="6"/>
    <d v="2025-11-18T00:00:00"/>
    <x v="1"/>
    <n v="3"/>
    <n v="30000"/>
  </r>
  <r>
    <x v="18"/>
    <d v="2025-11-18T00:00:00"/>
    <x v="1"/>
    <n v="3"/>
    <n v="36000"/>
  </r>
  <r>
    <x v="21"/>
    <d v="2025-11-18T00:00:00"/>
    <x v="1"/>
    <n v="1"/>
    <n v="7000"/>
  </r>
  <r>
    <x v="8"/>
    <d v="2025-11-18T00:00:00"/>
    <x v="1"/>
    <n v="1"/>
    <n v="10000"/>
  </r>
  <r>
    <x v="17"/>
    <d v="2025-11-18T00:00:00"/>
    <x v="1"/>
    <n v="1"/>
    <n v="25000"/>
  </r>
  <r>
    <x v="5"/>
    <d v="2025-11-18T00:00:00"/>
    <x v="1"/>
    <n v="1"/>
    <n v="0"/>
  </r>
  <r>
    <x v="13"/>
    <d v="2025-11-19T00:00:00"/>
    <x v="1"/>
    <n v="1"/>
    <n v="10000"/>
  </r>
  <r>
    <x v="18"/>
    <d v="2025-11-19T00:00:00"/>
    <x v="1"/>
    <n v="1"/>
    <n v="12000"/>
  </r>
  <r>
    <x v="5"/>
    <d v="2025-11-20T00:00:00"/>
    <x v="1"/>
    <n v="2"/>
    <n v="0"/>
  </r>
  <r>
    <x v="6"/>
    <d v="2025-11-20T00:00:00"/>
    <x v="1"/>
    <n v="1"/>
    <n v="10000"/>
  </r>
  <r>
    <x v="15"/>
    <d v="2025-11-20T00:00:00"/>
    <x v="1"/>
    <n v="1"/>
    <n v="15000"/>
  </r>
  <r>
    <x v="22"/>
    <d v="2025-11-20T00:00:00"/>
    <x v="1"/>
    <n v="1"/>
    <n v="10000"/>
  </r>
  <r>
    <x v="5"/>
    <d v="2025-11-20T00:00:00"/>
    <x v="1"/>
    <n v="1"/>
    <n v="0"/>
  </r>
  <r>
    <x v="4"/>
    <d v="2025-11-20T00:00:00"/>
    <x v="1"/>
    <n v="1"/>
    <n v="20000"/>
  </r>
  <r>
    <x v="5"/>
    <d v="2025-11-21T00:00:00"/>
    <x v="1"/>
    <n v="1"/>
    <n v="0"/>
  </r>
  <r>
    <x v="6"/>
    <d v="2025-11-27T00:00:00"/>
    <x v="1"/>
    <n v="4"/>
    <n v="40000"/>
  </r>
  <r>
    <x v="4"/>
    <d v="2025-11-27T00:00:00"/>
    <x v="1"/>
    <n v="2"/>
    <n v="40000"/>
  </r>
  <r>
    <x v="4"/>
    <d v="2025-11-27T00:00:00"/>
    <x v="1"/>
    <n v="1"/>
    <n v="20000"/>
  </r>
  <r>
    <x v="4"/>
    <d v="2025-12-01T00:00:00"/>
    <x v="2"/>
    <n v="2"/>
    <n v="40000"/>
  </r>
  <r>
    <x v="18"/>
    <d v="2025-12-01T00:00:00"/>
    <x v="2"/>
    <n v="5"/>
    <n v="60000"/>
  </r>
  <r>
    <x v="19"/>
    <d v="2025-12-01T00:00:00"/>
    <x v="2"/>
    <n v="3"/>
    <n v="75000"/>
  </r>
  <r>
    <x v="23"/>
    <d v="2025-12-01T00:00:00"/>
    <x v="2"/>
    <n v="2"/>
    <n v="50000"/>
  </r>
  <r>
    <x v="8"/>
    <d v="2025-12-01T00:00:00"/>
    <x v="2"/>
    <n v="2"/>
    <n v="20000"/>
  </r>
  <r>
    <x v="7"/>
    <d v="2025-12-01T00:00:00"/>
    <x v="2"/>
    <n v="1"/>
    <n v="25000"/>
  </r>
  <r>
    <x v="24"/>
    <d v="2025-12-01T00:00:00"/>
    <x v="2"/>
    <n v="1"/>
    <n v="20000"/>
  </r>
  <r>
    <x v="5"/>
    <d v="2025-12-01T00:00:00"/>
    <x v="2"/>
    <n v="2"/>
    <n v="0"/>
  </r>
  <r>
    <x v="4"/>
    <d v="2025-12-02T00:00:00"/>
    <x v="2"/>
    <n v="1"/>
    <n v="20000"/>
  </r>
  <r>
    <x v="18"/>
    <d v="2025-12-02T00:00:00"/>
    <x v="2"/>
    <n v="4"/>
    <n v="48000"/>
  </r>
  <r>
    <x v="0"/>
    <d v="2025-12-02T00:00:00"/>
    <x v="2"/>
    <n v="1"/>
    <n v="35000"/>
  </r>
  <r>
    <x v="5"/>
    <d v="2025-12-02T00:00:00"/>
    <x v="2"/>
    <n v="3"/>
    <n v="0"/>
  </r>
  <r>
    <x v="8"/>
    <d v="2025-12-02T00:00:00"/>
    <x v="2"/>
    <n v="1"/>
    <n v="10000"/>
  </r>
  <r>
    <x v="6"/>
    <d v="2025-12-02T00:00:00"/>
    <x v="2"/>
    <n v="1"/>
    <n v="10000"/>
  </r>
  <r>
    <x v="13"/>
    <d v="2025-12-02T00:00:00"/>
    <x v="2"/>
    <n v="1"/>
    <n v="10000"/>
  </r>
  <r>
    <x v="6"/>
    <d v="2025-12-03T00:00:00"/>
    <x v="2"/>
    <n v="1"/>
    <n v="10000"/>
  </r>
  <r>
    <x v="7"/>
    <d v="2025-12-03T00:00:00"/>
    <x v="2"/>
    <n v="1"/>
    <n v="25000"/>
  </r>
  <r>
    <x v="5"/>
    <d v="2025-12-03T00:00:00"/>
    <x v="2"/>
    <n v="1"/>
    <n v="0"/>
  </r>
  <r>
    <x v="13"/>
    <d v="2025-12-03T00:00:00"/>
    <x v="2"/>
    <n v="1"/>
    <n v="10000"/>
  </r>
  <r>
    <x v="25"/>
    <d v="2025-12-03T00:00:00"/>
    <x v="2"/>
    <n v="1"/>
    <n v="35000"/>
  </r>
  <r>
    <x v="5"/>
    <d v="2025-12-04T00:00:00"/>
    <x v="2"/>
    <n v="1"/>
    <n v="0"/>
  </r>
  <r>
    <x v="1"/>
    <d v="2025-12-05T00:00:00"/>
    <x v="2"/>
    <n v="1"/>
    <n v="35000"/>
  </r>
  <r>
    <x v="18"/>
    <d v="2025-12-05T00:00:00"/>
    <x v="2"/>
    <n v="2"/>
    <n v="24000"/>
  </r>
  <r>
    <x v="1"/>
    <d v="2025-12-05T00:00:00"/>
    <x v="2"/>
    <n v="1"/>
    <n v="35000"/>
  </r>
  <r>
    <x v="6"/>
    <d v="2025-12-05T00:00:00"/>
    <x v="2"/>
    <n v="3"/>
    <n v="30000"/>
  </r>
  <r>
    <x v="25"/>
    <d v="2025-12-05T00:00:00"/>
    <x v="2"/>
    <n v="4"/>
    <n v="140000"/>
  </r>
  <r>
    <x v="20"/>
    <d v="2025-12-05T00:00:00"/>
    <x v="2"/>
    <n v="2"/>
    <n v="120000"/>
  </r>
  <r>
    <x v="5"/>
    <d v="2025-12-05T00:00:00"/>
    <x v="2"/>
    <n v="2"/>
    <n v="0"/>
  </r>
  <r>
    <x v="4"/>
    <d v="2025-12-05T00:00:00"/>
    <x v="2"/>
    <n v="2"/>
    <n v="40000"/>
  </r>
  <r>
    <x v="13"/>
    <d v="2025-12-08T00:00:00"/>
    <x v="2"/>
    <n v="1"/>
    <n v="10000"/>
  </r>
  <r>
    <x v="9"/>
    <d v="2025-12-08T00:00:00"/>
    <x v="2"/>
    <n v="2"/>
    <n v="10000"/>
  </r>
  <r>
    <x v="4"/>
    <d v="2025-12-08T00:00:00"/>
    <x v="2"/>
    <n v="1"/>
    <n v="20000"/>
  </r>
  <r>
    <x v="23"/>
    <d v="2025-12-08T00:00:00"/>
    <x v="2"/>
    <n v="1"/>
    <n v="25000"/>
  </r>
  <r>
    <x v="1"/>
    <d v="2025-12-08T00:00:00"/>
    <x v="2"/>
    <n v="1"/>
    <n v="35000"/>
  </r>
  <r>
    <x v="8"/>
    <d v="2025-12-08T00:00:00"/>
    <x v="2"/>
    <n v="1"/>
    <n v="10000"/>
  </r>
  <r>
    <x v="4"/>
    <d v="2025-12-10T00:00:00"/>
    <x v="2"/>
    <n v="1"/>
    <n v="20000"/>
  </r>
  <r>
    <x v="26"/>
    <d v="2025-12-10T00:00:00"/>
    <x v="2"/>
    <n v="2"/>
    <n v="20000"/>
  </r>
  <r>
    <x v="21"/>
    <d v="2025-12-10T00:00:00"/>
    <x v="2"/>
    <n v="1"/>
    <n v="7000"/>
  </r>
  <r>
    <x v="9"/>
    <d v="2025-12-10T00:00:00"/>
    <x v="2"/>
    <n v="1"/>
    <n v="10000"/>
  </r>
  <r>
    <x v="6"/>
    <d v="2025-12-11T00:00:00"/>
    <x v="2"/>
    <n v="1"/>
    <n v="10000"/>
  </r>
  <r>
    <x v="1"/>
    <d v="2025-12-12T00:00:00"/>
    <x v="2"/>
    <n v="1"/>
    <n v="35000"/>
  </r>
  <r>
    <x v="6"/>
    <d v="2025-12-12T00:00:00"/>
    <x v="2"/>
    <n v="1"/>
    <n v="10000"/>
  </r>
  <r>
    <x v="4"/>
    <d v="2025-12-12T00:00:00"/>
    <x v="2"/>
    <n v="1"/>
    <n v="20000"/>
  </r>
  <r>
    <x v="20"/>
    <d v="2025-12-12T00:00:00"/>
    <x v="2"/>
    <n v="1"/>
    <n v="60000"/>
  </r>
  <r>
    <x v="4"/>
    <d v="2025-12-13T00:00:00"/>
    <x v="2"/>
    <n v="1"/>
    <n v="20000"/>
  </r>
  <r>
    <x v="1"/>
    <d v="2025-12-13T00:00:00"/>
    <x v="2"/>
    <n v="1"/>
    <n v="35000"/>
  </r>
  <r>
    <x v="6"/>
    <d v="2025-12-15T00:00:00"/>
    <x v="2"/>
    <n v="3"/>
    <n v="30000"/>
  </r>
  <r>
    <x v="7"/>
    <d v="2025-12-15T00:00:00"/>
    <x v="2"/>
    <n v="1"/>
    <n v="25000"/>
  </r>
  <r>
    <x v="5"/>
    <d v="2025-12-15T00:00:00"/>
    <x v="2"/>
    <n v="2"/>
    <n v="0"/>
  </r>
  <r>
    <x v="1"/>
    <d v="2025-12-15T00:00:00"/>
    <x v="2"/>
    <n v="1"/>
    <n v="35000"/>
  </r>
  <r>
    <x v="8"/>
    <d v="2025-12-15T00:00:00"/>
    <x v="2"/>
    <n v="2"/>
    <n v="20000"/>
  </r>
  <r>
    <x v="3"/>
    <d v="2025-12-15T00:00:00"/>
    <x v="2"/>
    <n v="1"/>
    <n v="35000"/>
  </r>
  <r>
    <x v="18"/>
    <d v="2025-12-15T00:00:00"/>
    <x v="2"/>
    <n v="1"/>
    <n v="12000"/>
  </r>
  <r>
    <x v="17"/>
    <d v="2025-12-16T00:00:00"/>
    <x v="2"/>
    <n v="1"/>
    <n v="25000"/>
  </r>
  <r>
    <x v="20"/>
    <d v="2025-12-16T00:00:00"/>
    <x v="2"/>
    <n v="1"/>
    <n v="60000"/>
  </r>
  <r>
    <x v="0"/>
    <d v="2025-12-16T00:00:00"/>
    <x v="2"/>
    <n v="1"/>
    <n v="35000"/>
  </r>
  <r>
    <x v="4"/>
    <d v="2025-12-16T00:00:00"/>
    <x v="2"/>
    <n v="1"/>
    <n v="20000"/>
  </r>
  <r>
    <x v="16"/>
    <d v="2025-12-17T00:00:00"/>
    <x v="2"/>
    <n v="1"/>
    <n v="55000"/>
  </r>
  <r>
    <x v="10"/>
    <d v="2025-12-17T00:00:00"/>
    <x v="2"/>
    <n v="1"/>
    <n v="20000"/>
  </r>
  <r>
    <x v="18"/>
    <d v="2025-12-17T00:00:00"/>
    <x v="2"/>
    <n v="1"/>
    <n v="12000"/>
  </r>
  <r>
    <x v="4"/>
    <d v="2025-12-18T00:00:00"/>
    <x v="2"/>
    <n v="1"/>
    <n v="20000"/>
  </r>
  <r>
    <x v="9"/>
    <d v="2025-12-18T00:00:00"/>
    <x v="2"/>
    <n v="1"/>
    <n v="10000"/>
  </r>
  <r>
    <x v="6"/>
    <d v="2025-12-18T00:00:00"/>
    <x v="2"/>
    <n v="1"/>
    <n v="10000"/>
  </r>
  <r>
    <x v="6"/>
    <d v="2025-12-19T00:00:00"/>
    <x v="2"/>
    <n v="1"/>
    <n v="10000"/>
  </r>
  <r>
    <x v="13"/>
    <d v="2025-12-19T00:00:00"/>
    <x v="2"/>
    <n v="1"/>
    <n v="10000"/>
  </r>
  <r>
    <x v="9"/>
    <d v="2025-12-19T00:00:00"/>
    <x v="2"/>
    <n v="1"/>
    <n v="10000"/>
  </r>
  <r>
    <x v="16"/>
    <d v="2025-12-19T00:00:00"/>
    <x v="2"/>
    <n v="3"/>
    <n v="165000"/>
  </r>
  <r>
    <x v="27"/>
    <d v="2025-12-19T00:00:00"/>
    <x v="2"/>
    <n v="1"/>
    <n v="20000"/>
  </r>
  <r>
    <x v="0"/>
    <d v="2025-12-19T00:00:00"/>
    <x v="2"/>
    <n v="1"/>
    <n v="35000"/>
  </r>
  <r>
    <x v="10"/>
    <d v="2025-12-19T00:00:00"/>
    <x v="2"/>
    <n v="1"/>
    <n v="20000"/>
  </r>
  <r>
    <x v="1"/>
    <d v="2025-12-19T00:00:00"/>
    <x v="2"/>
    <n v="1"/>
    <n v="35000"/>
  </r>
  <r>
    <x v="4"/>
    <d v="2025-12-19T00:00:00"/>
    <x v="2"/>
    <n v="1"/>
    <n v="20000"/>
  </r>
  <r>
    <x v="15"/>
    <d v="2025-12-20T00:00:00"/>
    <x v="2"/>
    <n v="1"/>
    <n v="15000"/>
  </r>
  <r>
    <x v="6"/>
    <d v="2025-12-20T00:00:00"/>
    <x v="2"/>
    <n v="1"/>
    <n v="10000"/>
  </r>
  <r>
    <x v="0"/>
    <d v="2025-12-20T00:00:00"/>
    <x v="2"/>
    <n v="1"/>
    <n v="35000"/>
  </r>
  <r>
    <x v="13"/>
    <d v="2025-12-20T00:00:00"/>
    <x v="2"/>
    <n v="1"/>
    <n v="10000"/>
  </r>
  <r>
    <x v="19"/>
    <d v="2025-12-20T00:00:00"/>
    <x v="2"/>
    <n v="1"/>
    <n v="25000"/>
  </r>
  <r>
    <x v="1"/>
    <d v="2025-12-22T00:00:00"/>
    <x v="2"/>
    <n v="3"/>
    <n v="105000"/>
  </r>
  <r>
    <x v="1"/>
    <d v="2025-12-23T00:00:00"/>
    <x v="2"/>
    <n v="1"/>
    <n v="35000"/>
  </r>
  <r>
    <x v="3"/>
    <d v="2025-12-23T00:00:00"/>
    <x v="2"/>
    <n v="1"/>
    <n v="35000"/>
  </r>
  <r>
    <x v="18"/>
    <d v="2025-12-23T00:00:00"/>
    <x v="2"/>
    <n v="2"/>
    <n v="24000"/>
  </r>
  <r>
    <x v="4"/>
    <d v="2025-12-23T00:00:00"/>
    <x v="2"/>
    <n v="1"/>
    <n v="20000"/>
  </r>
  <r>
    <x v="6"/>
    <d v="2025-12-23T00:00:00"/>
    <x v="2"/>
    <n v="1"/>
    <n v="10000"/>
  </r>
  <r>
    <x v="1"/>
    <d v="2025-12-24T00:00:00"/>
    <x v="2"/>
    <n v="4"/>
    <n v="140000"/>
  </r>
  <r>
    <x v="19"/>
    <d v="2025-12-24T00:00:00"/>
    <x v="2"/>
    <n v="2"/>
    <n v="50000"/>
  </r>
  <r>
    <x v="8"/>
    <d v="2025-12-24T00:00:00"/>
    <x v="2"/>
    <n v="1"/>
    <n v="10000"/>
  </r>
  <r>
    <x v="9"/>
    <d v="2025-12-24T00:00:00"/>
    <x v="2"/>
    <n v="1"/>
    <n v="10000"/>
  </r>
  <r>
    <x v="28"/>
    <d v="2025-12-24T00:00:00"/>
    <x v="2"/>
    <n v="1"/>
    <n v="5000"/>
  </r>
  <r>
    <x v="25"/>
    <d v="2025-12-27T00:00:00"/>
    <x v="2"/>
    <n v="1"/>
    <n v="35000"/>
  </r>
  <r>
    <x v="19"/>
    <d v="2025-12-27T00:00:00"/>
    <x v="2"/>
    <n v="1"/>
    <n v="25000"/>
  </r>
  <r>
    <x v="17"/>
    <d v="2025-12-27T00:00:00"/>
    <x v="2"/>
    <n v="1"/>
    <n v="25000"/>
  </r>
  <r>
    <x v="4"/>
    <d v="2025-12-27T00:00:00"/>
    <x v="2"/>
    <n v="1"/>
    <n v="20000"/>
  </r>
  <r>
    <x v="6"/>
    <d v="2025-12-28T00:00:00"/>
    <x v="2"/>
    <n v="5"/>
    <n v="50000"/>
  </r>
  <r>
    <x v="29"/>
    <d v="2025-12-28T00:00:00"/>
    <x v="2"/>
    <n v="1"/>
    <n v="20000"/>
  </r>
  <r>
    <x v="14"/>
    <d v="2025-12-28T00:00:00"/>
    <x v="2"/>
    <n v="1"/>
    <n v="17000"/>
  </r>
  <r>
    <x v="9"/>
    <d v="2025-12-28T00:00:00"/>
    <x v="2"/>
    <n v="1"/>
    <n v="10000"/>
  </r>
  <r>
    <x v="1"/>
    <d v="2025-12-28T00:00:00"/>
    <x v="2"/>
    <n v="1"/>
    <n v="35000"/>
  </r>
  <r>
    <x v="4"/>
    <d v="2025-12-30T00:00:00"/>
    <x v="2"/>
    <n v="3"/>
    <n v="60000"/>
  </r>
  <r>
    <x v="18"/>
    <d v="2025-12-30T00:00:00"/>
    <x v="2"/>
    <n v="2"/>
    <n v="24000"/>
  </r>
  <r>
    <x v="6"/>
    <d v="2025-12-30T00:00:00"/>
    <x v="2"/>
    <n v="2"/>
    <n v="20000"/>
  </r>
  <r>
    <x v="18"/>
    <d v="2025-12-30T00:00:00"/>
    <x v="2"/>
    <n v="2"/>
    <n v="24000"/>
  </r>
  <r>
    <x v="1"/>
    <d v="2025-12-30T00:00:00"/>
    <x v="2"/>
    <n v="1"/>
    <n v="35000"/>
  </r>
  <r>
    <x v="0"/>
    <d v="2025-12-30T00:00:00"/>
    <x v="2"/>
    <n v="1"/>
    <n v="35000"/>
  </r>
  <r>
    <x v="26"/>
    <d v="2025-12-30T00:00:00"/>
    <x v="2"/>
    <n v="2"/>
    <n v="20000"/>
  </r>
  <r>
    <x v="9"/>
    <d v="2025-12-30T00:00:00"/>
    <x v="2"/>
    <n v="1"/>
    <n v="10000"/>
  </r>
  <r>
    <x v="28"/>
    <d v="2025-12-30T00:00:00"/>
    <x v="2"/>
    <n v="1"/>
    <n v="5000"/>
  </r>
  <r>
    <x v="6"/>
    <d v="2025-12-31T00:00:00"/>
    <x v="2"/>
    <n v="1"/>
    <n v="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D8DF47-FBA9-4FDC-8837-3DCBDB1EEFF8}" name="PivotTable3" cacheId="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1">
  <location ref="L3:M9"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6">
    <i>
      <x v="8"/>
    </i>
    <i>
      <x v="1"/>
    </i>
    <i>
      <x v="21"/>
    </i>
    <i>
      <x v="17"/>
    </i>
    <i>
      <x v="10"/>
    </i>
    <i t="grand">
      <x/>
    </i>
  </rowItems>
  <colItems count="1">
    <i/>
  </colItems>
  <dataFields count="1">
    <dataField name="Sum of Revenue" fld="4" baseField="0" baseItem="1" numFmtId="166"/>
  </dataFields>
  <chartFormats count="3">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8E7D47-1F2D-443A-8C9A-EA491B714E8C}"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D81:E98" firstHeaderRow="1" firstDataRow="1" firstDataCol="1"/>
  <pivotFields count="5">
    <pivotField axis="axisRow" showAll="0" measureFilter="1">
      <items count="47">
        <item x="38"/>
        <item x="25"/>
        <item x="18"/>
        <item x="36"/>
        <item x="24"/>
        <item x="9"/>
        <item x="13"/>
        <item x="8"/>
        <item x="33"/>
        <item x="16"/>
        <item x="31"/>
        <item x="35"/>
        <item x="41"/>
        <item x="6"/>
        <item x="42"/>
        <item x="28"/>
        <item x="3"/>
        <item x="2"/>
        <item x="11"/>
        <item x="15"/>
        <item x="17"/>
        <item x="27"/>
        <item x="21"/>
        <item x="20"/>
        <item x="19"/>
        <item x="32"/>
        <item x="7"/>
        <item x="10"/>
        <item x="40"/>
        <item x="30"/>
        <item x="14"/>
        <item x="4"/>
        <item x="5"/>
        <item x="39"/>
        <item x="12"/>
        <item x="43"/>
        <item x="23"/>
        <item x="29"/>
        <item x="26"/>
        <item m="1" x="45"/>
        <item x="0"/>
        <item x="34"/>
        <item x="1"/>
        <item x="44"/>
        <item x="37"/>
        <item x="22"/>
        <item t="default"/>
      </items>
    </pivotField>
    <pivotField showAll="0"/>
    <pivotField showAll="0"/>
    <pivotField dataField="1" showAll="0"/>
    <pivotField numFmtId="165" showAll="0"/>
  </pivotFields>
  <rowFields count="1">
    <field x="0"/>
  </rowFields>
  <rowItems count="17">
    <i>
      <x/>
    </i>
    <i>
      <x v="1"/>
    </i>
    <i>
      <x v="3"/>
    </i>
    <i>
      <x v="9"/>
    </i>
    <i>
      <x v="19"/>
    </i>
    <i>
      <x v="22"/>
    </i>
    <i>
      <x v="23"/>
    </i>
    <i>
      <x v="32"/>
    </i>
    <i>
      <x v="33"/>
    </i>
    <i>
      <x v="35"/>
    </i>
    <i>
      <x v="36"/>
    </i>
    <i>
      <x v="38"/>
    </i>
    <i>
      <x v="41"/>
    </i>
    <i>
      <x v="43"/>
    </i>
    <i>
      <x v="44"/>
    </i>
    <i>
      <x v="45"/>
    </i>
    <i t="grand">
      <x/>
    </i>
  </rowItems>
  <colItems count="1">
    <i/>
  </colItems>
  <dataFields count="1">
    <dataField name="Sum of Units Sold"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F861F5-5538-436C-9688-5D3F365900CD}" name="PivotTable10"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0">
  <location ref="L74:M82" firstHeaderRow="1" firstDataRow="1" firstDataCol="1"/>
  <pivotFields count="5">
    <pivotField axis="axisRow" showAll="0" measureFilter="1" sortType="descending">
      <items count="47">
        <item x="18"/>
        <item x="9"/>
        <item x="13"/>
        <item x="8"/>
        <item x="33"/>
        <item x="16"/>
        <item x="31"/>
        <item x="41"/>
        <item x="6"/>
        <item x="3"/>
        <item x="17"/>
        <item x="21"/>
        <item x="32"/>
        <item x="7"/>
        <item x="10"/>
        <item x="4"/>
        <item x="5"/>
        <item x="12"/>
        <item x="1"/>
        <item x="36"/>
        <item x="26"/>
        <item x="29"/>
        <item x="14"/>
        <item x="15"/>
        <item x="0"/>
        <item x="2"/>
        <item x="11"/>
        <item m="1" x="45"/>
        <item x="39"/>
        <item x="19"/>
        <item x="20"/>
        <item x="22"/>
        <item x="23"/>
        <item x="24"/>
        <item x="25"/>
        <item x="27"/>
        <item x="28"/>
        <item x="30"/>
        <item x="34"/>
        <item x="35"/>
        <item x="37"/>
        <item x="38"/>
        <item x="40"/>
        <item x="42"/>
        <item x="43"/>
        <item x="44"/>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8">
    <i>
      <x v="37"/>
    </i>
    <i>
      <x v="44"/>
    </i>
    <i>
      <x v="31"/>
    </i>
    <i>
      <x v="11"/>
    </i>
    <i>
      <x v="38"/>
    </i>
    <i>
      <x v="23"/>
    </i>
    <i>
      <x v="16"/>
    </i>
    <i t="grand">
      <x/>
    </i>
  </rowItems>
  <colItems count="1">
    <i/>
  </colItems>
  <dataFields count="1">
    <dataField name="Sum of Revenue" fld="4" baseField="0" baseItem="0" numFmtId="165"/>
  </dataFields>
  <chartFormats count="5">
    <chartFormat chart="1"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7"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0D7462-6A29-4825-986B-A4D6B4A6DF0C}" name="PivotTable5" cacheId="1" applyNumberFormats="0" applyBorderFormats="0" applyFontFormats="0" applyPatternFormats="0" applyAlignmentFormats="0" applyWidthHeightFormats="1" dataCaption="Values" updatedVersion="7" minRefreshableVersion="3" showDrill="0" useAutoFormatting="1" itemPrintTitles="1" createdVersion="8" indent="0" outline="1" outlineData="1" multipleFieldFilters="0" chartFormat="6">
  <location ref="A49:B53" firstHeaderRow="1" firstDataRow="1" firstDataCol="1"/>
  <pivotFields count="5">
    <pivotField showAll="0"/>
    <pivotField numFmtId="14" showAll="0"/>
    <pivotField axis="axisRow" showAll="0">
      <items count="4">
        <item x="0"/>
        <item x="1"/>
        <item x="2"/>
        <item t="default"/>
      </items>
    </pivotField>
    <pivotField showAll="0"/>
    <pivotField dataField="1" numFmtId="165" showAll="0"/>
  </pivotFields>
  <rowFields count="1">
    <field x="2"/>
  </rowFields>
  <rowItems count="4">
    <i>
      <x/>
    </i>
    <i>
      <x v="1"/>
    </i>
    <i>
      <x v="2"/>
    </i>
    <i t="grand">
      <x/>
    </i>
  </rowItems>
  <colItems count="1">
    <i/>
  </colItems>
  <dataFields count="1">
    <dataField name="Sum of Revenue" fld="4" baseField="0" baseItem="0"/>
  </dataFields>
  <formats count="1">
    <format dxfId="0">
      <pivotArea collapsedLevelsAreSubtotals="1" fieldPosition="0">
        <references count="1">
          <reference field="2" count="0"/>
        </references>
      </pivotArea>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548950-D4FC-4B51-9985-0CD974F93498}" name="PivotTable9"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2">
  <location ref="L57:M64" firstHeaderRow="1" firstDataRow="1" firstDataCol="1"/>
  <pivotFields count="5">
    <pivotField axis="axisRow" showAll="0" measureFilter="1" sortType="descending">
      <items count="47">
        <item x="18"/>
        <item x="9"/>
        <item x="13"/>
        <item x="8"/>
        <item x="33"/>
        <item x="16"/>
        <item x="31"/>
        <item x="41"/>
        <item x="6"/>
        <item x="3"/>
        <item x="17"/>
        <item x="21"/>
        <item x="32"/>
        <item x="7"/>
        <item x="10"/>
        <item x="4"/>
        <item x="5"/>
        <item x="12"/>
        <item x="1"/>
        <item x="36"/>
        <item x="26"/>
        <item x="29"/>
        <item x="14"/>
        <item x="15"/>
        <item x="0"/>
        <item x="2"/>
        <item x="11"/>
        <item m="1" x="45"/>
        <item x="39"/>
        <item x="19"/>
        <item x="20"/>
        <item x="22"/>
        <item x="23"/>
        <item x="24"/>
        <item x="25"/>
        <item x="27"/>
        <item x="28"/>
        <item x="30"/>
        <item x="34"/>
        <item x="35"/>
        <item x="37"/>
        <item x="38"/>
        <item x="40"/>
        <item x="42"/>
        <item x="43"/>
        <item x="44"/>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7">
    <i>
      <x v="8"/>
    </i>
    <i>
      <x v="18"/>
    </i>
    <i>
      <x v="1"/>
    </i>
    <i>
      <x v="15"/>
    </i>
    <i>
      <x v="14"/>
    </i>
    <i>
      <x v="10"/>
    </i>
    <i t="grand">
      <x/>
    </i>
  </rowItems>
  <colItems count="1">
    <i/>
  </colItems>
  <dataFields count="1">
    <dataField name="Sum of Revenue" fld="4" baseField="0" baseItem="1" numFmtId="166"/>
  </dataFields>
  <chartFormats count="4">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D18FBB9-AD90-41FB-B086-B9827B3791C9}" name="PivotTable2" cacheId="1" applyNumberFormats="0" applyBorderFormats="0" applyFontFormats="0" applyPatternFormats="0" applyAlignmentFormats="0" applyWidthHeightFormats="1" dataCaption="Values" updatedVersion="7" minRefreshableVersion="3" showDrill="0" useAutoFormatting="1" itemPrintTitles="1" createdVersion="8" indent="0" outline="1" outlineData="1" multipleFieldFilters="0" chartFormat="3">
  <location ref="A32:B39"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dataField="1" showAll="0"/>
    <pivotField numFmtId="165" showAll="0"/>
  </pivotFields>
  <rowFields count="1">
    <field x="0"/>
  </rowFields>
  <rowItems count="7">
    <i>
      <x v="23"/>
    </i>
    <i>
      <x v="27"/>
    </i>
    <i>
      <x v="26"/>
    </i>
    <i>
      <x v="18"/>
    </i>
    <i>
      <x v="4"/>
    </i>
    <i>
      <x v="20"/>
    </i>
    <i t="grand">
      <x/>
    </i>
  </rowItems>
  <colItems count="1">
    <i/>
  </colItems>
  <dataFields count="1">
    <dataField name="Sum of Units Sold" fld="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10326A-350C-4073-AE02-22874A8C31CE}" name="PivotTable1" cacheId="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5">
  <location ref="A2:B8"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dataField="1" showAll="0"/>
    <pivotField numFmtId="165" showAll="0"/>
  </pivotFields>
  <rowFields count="1">
    <field x="0"/>
  </rowFields>
  <rowItems count="6">
    <i>
      <x v="21"/>
    </i>
    <i>
      <x v="8"/>
    </i>
    <i>
      <x v="11"/>
    </i>
    <i>
      <x v="17"/>
    </i>
    <i>
      <x v="1"/>
    </i>
    <i t="grand">
      <x/>
    </i>
  </rowItems>
  <colItems count="1">
    <i/>
  </colItems>
  <dataFields count="1">
    <dataField name="Sum of Units Sold"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1895EB-5D13-4233-B748-E3D57F229A90}" name="PivotTable7" cacheId="0" applyNumberFormats="0" applyBorderFormats="0" applyFontFormats="0" applyPatternFormats="0" applyAlignmentFormats="0" applyWidthHeightFormats="1" dataCaption="Values" updatedVersion="7" minRefreshableVersion="3" showDrill="0" useAutoFormatting="1" itemPrintTitles="1" createdVersion="8" indent="0" outline="1" outlineData="1" multipleFieldFilters="0" chartFormat="14">
  <location ref="A90:B94" firstHeaderRow="1" firstDataRow="1" firstDataCol="1"/>
  <pivotFields count="5">
    <pivotField showAll="0">
      <items count="47">
        <item x="38"/>
        <item x="25"/>
        <item x="18"/>
        <item x="36"/>
        <item x="24"/>
        <item x="9"/>
        <item x="13"/>
        <item x="8"/>
        <item x="33"/>
        <item x="16"/>
        <item x="31"/>
        <item x="35"/>
        <item x="41"/>
        <item x="6"/>
        <item x="42"/>
        <item x="28"/>
        <item x="3"/>
        <item x="2"/>
        <item x="11"/>
        <item x="15"/>
        <item x="17"/>
        <item x="27"/>
        <item x="21"/>
        <item x="20"/>
        <item x="19"/>
        <item x="32"/>
        <item x="7"/>
        <item x="10"/>
        <item x="40"/>
        <item x="30"/>
        <item x="14"/>
        <item x="4"/>
        <item x="5"/>
        <item x="39"/>
        <item x="12"/>
        <item x="43"/>
        <item x="23"/>
        <item x="29"/>
        <item x="26"/>
        <item m="1" x="45"/>
        <item x="0"/>
        <item x="34"/>
        <item x="1"/>
        <item x="44"/>
        <item x="37"/>
        <item x="22"/>
        <item t="default"/>
      </items>
    </pivotField>
    <pivotField numFmtId="14" showAll="0"/>
    <pivotField axis="axisRow" showAll="0">
      <items count="4">
        <item x="0"/>
        <item x="1"/>
        <item x="2"/>
        <item t="default"/>
      </items>
    </pivotField>
    <pivotField showAll="0"/>
    <pivotField dataField="1" numFmtId="165" showAll="0"/>
  </pivotFields>
  <rowFields count="1">
    <field x="2"/>
  </rowFields>
  <rowItems count="4">
    <i>
      <x/>
    </i>
    <i>
      <x v="1"/>
    </i>
    <i>
      <x v="2"/>
    </i>
    <i t="grand">
      <x/>
    </i>
  </rowItems>
  <colItems count="1">
    <i/>
  </colItems>
  <dataFields count="1">
    <dataField name="Sum of Revenue" fld="4" baseField="0" baseItem="0"/>
  </dataFields>
  <formats count="1">
    <format dxfId="1">
      <pivotArea collapsedLevelsAreSubtotals="1" fieldPosition="0">
        <references count="1">
          <reference field="2" count="0"/>
        </references>
      </pivotArea>
    </format>
  </format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EDE172-D96E-4595-94FF-099A4802F98A}" name="PivotTable4" cacheId="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9">
  <location ref="L24:M30"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6">
    <i>
      <x v="12"/>
    </i>
    <i>
      <x v="20"/>
    </i>
    <i>
      <x v="28"/>
    </i>
    <i>
      <x v="18"/>
    </i>
    <i>
      <x v="11"/>
    </i>
    <i t="grand">
      <x/>
    </i>
  </rowItems>
  <colItems count="1">
    <i/>
  </colItems>
  <dataFields count="1">
    <dataField name="Sum of Revenue" fld="4" baseField="0" baseItem="0" numFmtId="165"/>
  </dataFields>
  <chartFormats count="4">
    <chartFormat chart="1"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7"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4F011F-D417-4CAB-88F2-D7ED9C72C463}" name="PivotTable6"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6">
  <location ref="A57:B63" firstHeaderRow="1" firstDataRow="1" firstDataCol="1"/>
  <pivotFields count="5">
    <pivotField axis="axisRow" showAll="0" measureFilter="1" sortType="descending">
      <items count="47">
        <item x="18"/>
        <item x="9"/>
        <item x="13"/>
        <item x="8"/>
        <item x="33"/>
        <item x="16"/>
        <item x="31"/>
        <item x="41"/>
        <item x="6"/>
        <item x="3"/>
        <item x="17"/>
        <item x="21"/>
        <item x="32"/>
        <item x="7"/>
        <item x="10"/>
        <item x="4"/>
        <item x="5"/>
        <item x="12"/>
        <item x="1"/>
        <item x="36"/>
        <item x="26"/>
        <item x="29"/>
        <item x="14"/>
        <item x="15"/>
        <item x="0"/>
        <item x="2"/>
        <item x="11"/>
        <item m="1" x="45"/>
        <item x="39"/>
        <item x="19"/>
        <item x="20"/>
        <item x="22"/>
        <item x="23"/>
        <item x="24"/>
        <item x="25"/>
        <item x="27"/>
        <item x="28"/>
        <item x="30"/>
        <item x="34"/>
        <item x="35"/>
        <item x="37"/>
        <item x="38"/>
        <item x="40"/>
        <item x="42"/>
        <item x="43"/>
        <item x="44"/>
        <item t="default"/>
      </items>
      <autoSortScope>
        <pivotArea dataOnly="0" outline="0" fieldPosition="0">
          <references count="1">
            <reference field="4294967294" count="1" selected="0">
              <x v="0"/>
            </reference>
          </references>
        </pivotArea>
      </autoSortScope>
    </pivotField>
    <pivotField numFmtId="14" showAll="0"/>
    <pivotField showAll="0"/>
    <pivotField dataField="1" showAll="0"/>
    <pivotField numFmtId="165" showAll="0"/>
  </pivotFields>
  <rowFields count="1">
    <field x="0"/>
  </rowFields>
  <rowItems count="6">
    <i>
      <x v="18"/>
    </i>
    <i>
      <x v="15"/>
    </i>
    <i>
      <x v="25"/>
    </i>
    <i>
      <x v="8"/>
    </i>
    <i>
      <x v="14"/>
    </i>
    <i t="grand">
      <x/>
    </i>
  </rowItems>
  <colItems count="1">
    <i/>
  </colItems>
  <dataFields count="1">
    <dataField name="Sum of Units Sold" fld="3"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4C239787-9D8A-45A1-94E6-FF24E9849556}" sourceName="Month">
  <data>
    <tabular pivotCacheId="186687931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E11C2A42-63E3-407B-A1F0-34727DDDC429}" cache="Slicer_Month" caption="Month"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A31FE1-28CE-462B-A38B-F47C4102ADB4}" name="Table1" displayName="Table1" ref="A1:F234" totalsRowShown="0">
  <autoFilter ref="A1:F234" xr:uid="{32A31FE1-28CE-462B-A38B-F47C4102ADB4}"/>
  <tableColumns count="6">
    <tableColumn id="1" xr3:uid="{0F5F4B0E-DE41-4AC4-A5DD-1FED5AA92CF2}" name="Product"/>
    <tableColumn id="2" xr3:uid="{01F667A7-B028-4786-818F-1FD3CA73A9B9}" name="Date" dataDxfId="4"/>
    <tableColumn id="3" xr3:uid="{5CD0FB50-DBFD-4A9B-8D2C-E9C820EB9E8F}" name="Month" dataDxfId="3"/>
    <tableColumn id="4" xr3:uid="{F44A269E-29F1-41ED-950D-E328D0B184F5}" name="Units Sold"/>
    <tableColumn id="5" xr3:uid="{859EE7B9-1C54-4EB5-AEC9-52FD370826E5}" name="Revenue" dataDxfId="2"/>
    <tableColumn id="6" xr3:uid="{C86B5E4D-3796-4BA7-937E-CF99F0AE8742}" name="Column1"/>
  </tableColumns>
  <tableStyleInfo name="TableStyleMedium2" showFirstColumn="0" showLastColumn="0" showRowStripes="1" showColumnStripes="0"/>
</table>
</file>

<file path=xl/theme/theme1.xml><?xml version="1.0" encoding="utf-8"?>
<a:theme xmlns:a="http://schemas.openxmlformats.org/drawingml/2006/main" name="Retrospect">
  <a:themeElements>
    <a:clrScheme name="Retrospect">
      <a:dk1>
        <a:srgbClr val="000000"/>
      </a:dk1>
      <a:lt1>
        <a:sysClr val="window" lastClr="FFFFFF"/>
      </a:lt1>
      <a:dk2>
        <a:srgbClr val="637052"/>
      </a:dk2>
      <a:lt2>
        <a:srgbClr val="CCDDEA"/>
      </a:lt2>
      <a:accent1>
        <a:srgbClr val="E48312"/>
      </a:accent1>
      <a:accent2>
        <a:srgbClr val="BD582C"/>
      </a:accent2>
      <a:accent3>
        <a:srgbClr val="865640"/>
      </a:accent3>
      <a:accent4>
        <a:srgbClr val="9B8357"/>
      </a:accent4>
      <a:accent5>
        <a:srgbClr val="C2BC80"/>
      </a:accent5>
      <a:accent6>
        <a:srgbClr val="94A088"/>
      </a:accent6>
      <a:hlink>
        <a:srgbClr val="2998E3"/>
      </a:hlink>
      <a:folHlink>
        <a:srgbClr val="8C8C8C"/>
      </a:folHlink>
    </a:clrScheme>
    <a:fontScheme name="Retrospect">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Retrospect">
      <a:fillStyleLst>
        <a:solidFill>
          <a:schemeClr val="phClr"/>
        </a:solidFill>
        <a:gradFill rotWithShape="1">
          <a:gsLst>
            <a:gs pos="0">
              <a:schemeClr val="phClr">
                <a:tint val="65000"/>
                <a:shade val="92000"/>
                <a:satMod val="130000"/>
              </a:schemeClr>
            </a:gs>
            <a:gs pos="45000">
              <a:schemeClr val="phClr">
                <a:tint val="60000"/>
                <a:shade val="99000"/>
                <a:satMod val="120000"/>
              </a:schemeClr>
            </a:gs>
            <a:gs pos="100000">
              <a:schemeClr val="phClr">
                <a:tint val="55000"/>
                <a:satMod val="140000"/>
              </a:schemeClr>
            </a:gs>
          </a:gsLst>
          <a:path path="circle">
            <a:fillToRect l="100000" t="100000" r="100000" b="100000"/>
          </a:path>
        </a:gradFill>
        <a:gradFill rotWithShape="1">
          <a:gsLst>
            <a:gs pos="0">
              <a:schemeClr val="phClr">
                <a:shade val="85000"/>
                <a:satMod val="130000"/>
              </a:schemeClr>
            </a:gs>
            <a:gs pos="34000">
              <a:schemeClr val="phClr">
                <a:shade val="87000"/>
                <a:satMod val="125000"/>
              </a:schemeClr>
            </a:gs>
            <a:gs pos="70000">
              <a:schemeClr val="phClr">
                <a:tint val="100000"/>
                <a:shade val="90000"/>
                <a:satMod val="130000"/>
              </a:schemeClr>
            </a:gs>
            <a:gs pos="100000">
              <a:schemeClr val="phClr">
                <a:tint val="100000"/>
                <a:shade val="100000"/>
                <a:satMod val="110000"/>
              </a:schemeClr>
            </a:gs>
          </a:gsLst>
          <a:path path="circle">
            <a:fillToRect l="100000" t="100000" r="100000" b="100000"/>
          </a:path>
        </a:gradFill>
      </a:fillStyleLst>
      <a:lnStyleLst>
        <a:ln w="12700" cap="flat" cmpd="sng" algn="ctr">
          <a:solidFill>
            <a:schemeClr val="phClr"/>
          </a:solidFill>
          <a:prstDash val="solid"/>
        </a:ln>
        <a:ln w="15875"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outerShdw blurRad="38100" dist="25400" dir="2700000" algn="br" rotWithShape="0">
              <a:srgbClr val="000000">
                <a:alpha val="60000"/>
              </a:srgbClr>
            </a:outerShdw>
          </a:effectLst>
        </a:effectStyle>
        <a:effectStyle>
          <a:effectLst>
            <a:outerShdw blurRad="44450" dist="25400" dir="2700000" algn="br" rotWithShape="0">
              <a:srgbClr val="000000">
                <a:alpha val="60000"/>
              </a:srgbClr>
            </a:outerShdw>
          </a:effectLst>
          <a:scene3d>
            <a:camera prst="orthographicFront">
              <a:rot lat="0" lon="0" rev="0"/>
            </a:camera>
            <a:lightRig rig="threePt" dir="t">
              <a:rot lat="0" lon="0" rev="19800000"/>
            </a:lightRig>
          </a:scene3d>
          <a:sp3d prstMaterial="flat">
            <a:bevelT w="25400" h="31750"/>
          </a:sp3d>
        </a:effectStyle>
      </a:effectStyleLst>
      <a:bgFillStyleLst>
        <a:solidFill>
          <a:schemeClr val="phClr"/>
        </a:solidFill>
        <a:solidFill>
          <a:schemeClr val="phClr">
            <a:tint val="90000"/>
            <a:shade val="97000"/>
            <a:satMod val="130000"/>
          </a:schemeClr>
        </a:solidFill>
        <a:gradFill rotWithShape="1">
          <a:gsLst>
            <a:gs pos="0">
              <a:schemeClr val="phClr">
                <a:tint val="96000"/>
                <a:shade val="99000"/>
                <a:satMod val="140000"/>
              </a:schemeClr>
            </a:gs>
            <a:gs pos="65000">
              <a:schemeClr val="phClr">
                <a:tint val="100000"/>
                <a:shade val="80000"/>
                <a:satMod val="130000"/>
              </a:schemeClr>
            </a:gs>
            <a:gs pos="100000">
              <a:schemeClr val="phClr">
                <a:tint val="100000"/>
                <a:shade val="48000"/>
                <a:satMod val="120000"/>
              </a:schemeClr>
            </a:gs>
          </a:gsLst>
          <a:lin ang="16200000" scaled="0"/>
        </a:gradFill>
      </a:bgFillStyleLst>
    </a:fmtScheme>
  </a:themeElements>
  <a:objectDefaults/>
  <a:extraClrSchemeLst/>
  <a:extLst>
    <a:ext uri="{05A4C25C-085E-4340-85A3-A5531E510DB2}">
      <thm15:themeFamily xmlns:thm15="http://schemas.microsoft.com/office/thememl/2012/main" name="Retrospect" id="{5F128B03-DCCA-4EEB-AB3B-CF2899314A46}" vid="{3F1AAB62-24C6-49D2-8E01-B56FAC9A3DCD}"/>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3.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34DC5-2FB4-4CD3-9247-668EEFDC4CF4}">
  <dimension ref="A1:B46"/>
  <sheetViews>
    <sheetView topLeftCell="A21" workbookViewId="0">
      <selection activeCell="A33" sqref="A33"/>
    </sheetView>
  </sheetViews>
  <sheetFormatPr defaultRowHeight="14.4" x14ac:dyDescent="0.3"/>
  <cols>
    <col min="1" max="1" width="11.5546875" bestFit="1" customWidth="1"/>
    <col min="2" max="2" width="12.109375" style="6" bestFit="1" customWidth="1"/>
  </cols>
  <sheetData>
    <row r="1" spans="1:2" x14ac:dyDescent="0.3">
      <c r="A1" s="1" t="s">
        <v>0</v>
      </c>
      <c r="B1" s="4" t="s">
        <v>1</v>
      </c>
    </row>
    <row r="2" spans="1:2" ht="28.8" x14ac:dyDescent="0.3">
      <c r="A2" s="2" t="s">
        <v>3</v>
      </c>
      <c r="B2" s="5">
        <v>35000</v>
      </c>
    </row>
    <row r="3" spans="1:2" ht="28.8" x14ac:dyDescent="0.3">
      <c r="A3" s="2" t="s">
        <v>4</v>
      </c>
      <c r="B3" s="5">
        <v>25000</v>
      </c>
    </row>
    <row r="4" spans="1:2" ht="43.2" x14ac:dyDescent="0.3">
      <c r="A4" s="2" t="s">
        <v>5</v>
      </c>
      <c r="B4" s="5">
        <v>10000</v>
      </c>
    </row>
    <row r="5" spans="1:2" ht="28.8" x14ac:dyDescent="0.3">
      <c r="A5" s="2" t="s">
        <v>6</v>
      </c>
      <c r="B5" s="5">
        <v>10000</v>
      </c>
    </row>
    <row r="6" spans="1:2" ht="28.8" x14ac:dyDescent="0.3">
      <c r="A6" s="2" t="s">
        <v>79</v>
      </c>
      <c r="B6" s="5">
        <v>10000</v>
      </c>
    </row>
    <row r="7" spans="1:2" ht="28.8" x14ac:dyDescent="0.3">
      <c r="A7" s="2" t="s">
        <v>8</v>
      </c>
      <c r="B7" s="5">
        <v>20000</v>
      </c>
    </row>
    <row r="8" spans="1:2" ht="28.8" x14ac:dyDescent="0.3">
      <c r="A8" s="2" t="s">
        <v>9</v>
      </c>
      <c r="B8" s="5">
        <v>60000</v>
      </c>
    </row>
    <row r="9" spans="1:2" x14ac:dyDescent="0.3">
      <c r="A9" s="2" t="s">
        <v>10</v>
      </c>
      <c r="B9" s="5">
        <v>35000</v>
      </c>
    </row>
    <row r="10" spans="1:2" x14ac:dyDescent="0.3">
      <c r="A10" s="2" t="s">
        <v>11</v>
      </c>
      <c r="B10" s="5">
        <v>10000</v>
      </c>
    </row>
    <row r="11" spans="1:2" x14ac:dyDescent="0.3">
      <c r="A11" s="2" t="s">
        <v>12</v>
      </c>
      <c r="B11" s="5">
        <v>12000</v>
      </c>
    </row>
    <row r="12" spans="1:2" x14ac:dyDescent="0.3">
      <c r="A12" s="2" t="s">
        <v>13</v>
      </c>
      <c r="B12" s="5">
        <v>25000</v>
      </c>
    </row>
    <row r="13" spans="1:2" x14ac:dyDescent="0.3">
      <c r="A13" s="2" t="s">
        <v>14</v>
      </c>
      <c r="B13" s="5">
        <v>15000</v>
      </c>
    </row>
    <row r="14" spans="1:2" x14ac:dyDescent="0.3">
      <c r="A14" s="2" t="s">
        <v>15</v>
      </c>
      <c r="B14" s="5">
        <v>40000</v>
      </c>
    </row>
    <row r="15" spans="1:2" x14ac:dyDescent="0.3">
      <c r="A15" s="2" t="s">
        <v>16</v>
      </c>
      <c r="B15" s="5">
        <v>20000</v>
      </c>
    </row>
    <row r="16" spans="1:2" x14ac:dyDescent="0.3">
      <c r="A16" s="2" t="s">
        <v>17</v>
      </c>
      <c r="B16" s="5">
        <v>17000</v>
      </c>
    </row>
    <row r="17" spans="1:2" x14ac:dyDescent="0.3">
      <c r="A17" s="2" t="s">
        <v>21</v>
      </c>
      <c r="B17" s="5">
        <v>20000</v>
      </c>
    </row>
    <row r="18" spans="1:2" x14ac:dyDescent="0.3">
      <c r="A18" s="2" t="s">
        <v>26</v>
      </c>
      <c r="B18" s="6">
        <v>25000</v>
      </c>
    </row>
    <row r="19" spans="1:2" x14ac:dyDescent="0.3">
      <c r="A19" s="2" t="s">
        <v>29</v>
      </c>
      <c r="B19" s="5">
        <v>5000</v>
      </c>
    </row>
    <row r="20" spans="1:2" x14ac:dyDescent="0.3">
      <c r="A20" s="2" t="s">
        <v>28</v>
      </c>
      <c r="B20" s="5">
        <v>25000</v>
      </c>
    </row>
    <row r="21" spans="1:2" x14ac:dyDescent="0.3">
      <c r="A21" s="2" t="s">
        <v>31</v>
      </c>
      <c r="B21" s="5">
        <v>20000</v>
      </c>
    </row>
    <row r="22" spans="1:2" x14ac:dyDescent="0.3">
      <c r="A22" s="2" t="s">
        <v>33</v>
      </c>
      <c r="B22" s="5">
        <v>55000</v>
      </c>
    </row>
    <row r="23" spans="1:2" x14ac:dyDescent="0.3">
      <c r="A23" s="2" t="s">
        <v>34</v>
      </c>
      <c r="B23" s="5">
        <v>25000</v>
      </c>
    </row>
    <row r="24" spans="1:2" x14ac:dyDescent="0.3">
      <c r="A24" s="2" t="s">
        <v>24</v>
      </c>
      <c r="B24" s="5">
        <v>35000</v>
      </c>
    </row>
    <row r="25" spans="1:2" ht="28.8" x14ac:dyDescent="0.3">
      <c r="A25" s="2" t="s">
        <v>38</v>
      </c>
      <c r="B25" s="5">
        <v>7000</v>
      </c>
    </row>
    <row r="26" spans="1:2" x14ac:dyDescent="0.3">
      <c r="A26" s="2" t="s">
        <v>39</v>
      </c>
      <c r="B26" s="6">
        <v>10000</v>
      </c>
    </row>
    <row r="27" spans="1:2" x14ac:dyDescent="0.3">
      <c r="A27" s="2" t="s">
        <v>45</v>
      </c>
      <c r="B27" s="6">
        <v>20000</v>
      </c>
    </row>
    <row r="28" spans="1:2" x14ac:dyDescent="0.3">
      <c r="A28" s="2" t="s">
        <v>46</v>
      </c>
      <c r="B28" s="6">
        <v>35000</v>
      </c>
    </row>
    <row r="29" spans="1:2" x14ac:dyDescent="0.3">
      <c r="A29" s="2" t="s">
        <v>47</v>
      </c>
      <c r="B29" s="6">
        <v>20000</v>
      </c>
    </row>
    <row r="30" spans="1:2" x14ac:dyDescent="0.3">
      <c r="A30" s="2" t="s">
        <v>48</v>
      </c>
      <c r="B30" s="6">
        <v>5000</v>
      </c>
    </row>
    <row r="31" spans="1:2" ht="28.8" x14ac:dyDescent="0.3">
      <c r="A31" s="2" t="s">
        <v>49</v>
      </c>
      <c r="B31" s="6">
        <v>7000</v>
      </c>
    </row>
    <row r="32" spans="1:2" x14ac:dyDescent="0.3">
      <c r="A32" s="2" t="s">
        <v>58</v>
      </c>
      <c r="B32" s="6">
        <v>20000</v>
      </c>
    </row>
    <row r="33" spans="1:2" x14ac:dyDescent="0.3">
      <c r="A33" s="2" t="s">
        <v>69</v>
      </c>
      <c r="B33" s="6">
        <v>10000</v>
      </c>
    </row>
    <row r="34" spans="1:2" x14ac:dyDescent="0.3">
      <c r="A34" s="2" t="s">
        <v>67</v>
      </c>
      <c r="B34" s="6">
        <v>10000</v>
      </c>
    </row>
    <row r="35" spans="1:2" x14ac:dyDescent="0.3">
      <c r="A35" s="2" t="s">
        <v>68</v>
      </c>
      <c r="B35" s="6">
        <v>35000</v>
      </c>
    </row>
    <row r="36" spans="1:2" x14ac:dyDescent="0.3">
      <c r="A36" s="2" t="s">
        <v>71</v>
      </c>
      <c r="B36" s="6">
        <v>105000</v>
      </c>
    </row>
    <row r="37" spans="1:2" x14ac:dyDescent="0.3">
      <c r="A37" s="2" t="s">
        <v>72</v>
      </c>
      <c r="B37" s="6">
        <v>135000</v>
      </c>
    </row>
    <row r="38" spans="1:2" x14ac:dyDescent="0.3">
      <c r="A38" s="2" t="s">
        <v>73</v>
      </c>
      <c r="B38" s="6">
        <v>70000</v>
      </c>
    </row>
    <row r="39" spans="1:2" x14ac:dyDescent="0.3">
      <c r="A39" s="2" t="s">
        <v>80</v>
      </c>
      <c r="B39" s="6">
        <v>5000</v>
      </c>
    </row>
    <row r="40" spans="1:2" ht="28.8" x14ac:dyDescent="0.3">
      <c r="A40" s="2" t="s">
        <v>76</v>
      </c>
      <c r="B40" s="6">
        <v>5000</v>
      </c>
    </row>
    <row r="41" spans="1:2" x14ac:dyDescent="0.3">
      <c r="A41" s="2" t="s">
        <v>59</v>
      </c>
      <c r="B41" s="6">
        <v>10000</v>
      </c>
    </row>
    <row r="42" spans="1:2" x14ac:dyDescent="0.3">
      <c r="A42" s="2" t="s">
        <v>61</v>
      </c>
      <c r="B42" s="6">
        <v>10000</v>
      </c>
    </row>
    <row r="43" spans="1:2" ht="43.2" x14ac:dyDescent="0.3">
      <c r="A43" s="2" t="s">
        <v>81</v>
      </c>
      <c r="B43" s="6">
        <v>5000</v>
      </c>
    </row>
    <row r="44" spans="1:2" x14ac:dyDescent="0.3">
      <c r="A44" s="2" t="s">
        <v>82</v>
      </c>
      <c r="B44" s="6">
        <v>100000</v>
      </c>
    </row>
    <row r="45" spans="1:2" x14ac:dyDescent="0.3">
      <c r="A45" s="2" t="s">
        <v>85</v>
      </c>
      <c r="B45" s="6">
        <v>30000</v>
      </c>
    </row>
    <row r="46" spans="1:2" x14ac:dyDescent="0.3">
      <c r="A46"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14A47-192D-463E-A041-54E1992E82DB}">
  <dimension ref="A1:N228"/>
  <sheetViews>
    <sheetView workbookViewId="0">
      <selection activeCell="E153" sqref="E153"/>
    </sheetView>
  </sheetViews>
  <sheetFormatPr defaultRowHeight="14.4" x14ac:dyDescent="0.3"/>
  <cols>
    <col min="1" max="1" width="22.44140625" bestFit="1" customWidth="1"/>
    <col min="2" max="2" width="10.5546875" style="3" bestFit="1" customWidth="1"/>
    <col min="3" max="3" width="10.5546875" style="3" customWidth="1"/>
    <col min="4" max="4" width="11.33203125" customWidth="1"/>
    <col min="5" max="5" width="14.44140625" style="7" bestFit="1" customWidth="1"/>
    <col min="11" max="11" width="11" customWidth="1"/>
    <col min="12" max="12" width="13.33203125" bestFit="1" customWidth="1"/>
    <col min="14" max="14" width="13.33203125" bestFit="1" customWidth="1"/>
  </cols>
  <sheetData>
    <row r="1" spans="1:14" x14ac:dyDescent="0.3">
      <c r="A1" t="s">
        <v>0</v>
      </c>
      <c r="B1" s="3" t="s">
        <v>18</v>
      </c>
      <c r="C1" s="3" t="s">
        <v>40</v>
      </c>
      <c r="D1" t="s">
        <v>19</v>
      </c>
      <c r="E1" s="7" t="s">
        <v>37</v>
      </c>
      <c r="F1" t="s">
        <v>51</v>
      </c>
    </row>
    <row r="2" spans="1:14" x14ac:dyDescent="0.3">
      <c r="A2" t="s">
        <v>20</v>
      </c>
      <c r="B2" s="3">
        <v>45938</v>
      </c>
      <c r="C2" s="3" t="str">
        <f>TEXT(B2, "mmm")</f>
        <v>Oct</v>
      </c>
      <c r="D2">
        <v>1</v>
      </c>
      <c r="E2" s="7">
        <f>IFERROR(VLOOKUP(A2, PriceTable!$A$1:$B$31, 2, FALSE) * D2, 0)</f>
        <v>35000</v>
      </c>
      <c r="F2" s="7">
        <f>SUM(E2:E66)</f>
        <v>1896000</v>
      </c>
    </row>
    <row r="3" spans="1:14" x14ac:dyDescent="0.3">
      <c r="A3" t="s">
        <v>24</v>
      </c>
      <c r="B3" s="3">
        <v>45939</v>
      </c>
      <c r="C3" s="3" t="str">
        <f t="shared" ref="C3:C66" si="0">TEXT(B3, "mmm")</f>
        <v>Oct</v>
      </c>
      <c r="D3">
        <v>2</v>
      </c>
      <c r="E3" s="7">
        <f>IFERROR(VLOOKUP(A3, PriceTable!$A$1:$B$31, 2, FALSE) * D3, 0)</f>
        <v>70000</v>
      </c>
    </row>
    <row r="4" spans="1:14" x14ac:dyDescent="0.3">
      <c r="A4" t="s">
        <v>21</v>
      </c>
      <c r="B4" s="3">
        <v>45939</v>
      </c>
      <c r="C4" s="3" t="str">
        <f t="shared" si="0"/>
        <v>Oct</v>
      </c>
      <c r="D4">
        <v>2</v>
      </c>
      <c r="E4" s="7">
        <f>IFERROR(VLOOKUP(A4, PriceTable!$A$1:$B$31, 2, FALSE) * D4, 0)</f>
        <v>40000</v>
      </c>
    </row>
    <row r="5" spans="1:14" x14ac:dyDescent="0.3">
      <c r="A5" t="s">
        <v>25</v>
      </c>
      <c r="B5" s="3">
        <v>45939</v>
      </c>
      <c r="C5" s="3" t="str">
        <f t="shared" si="0"/>
        <v>Oct</v>
      </c>
      <c r="D5">
        <v>1</v>
      </c>
      <c r="E5" s="7">
        <f>IFERROR(VLOOKUP(A5, PriceTable!$A$1:$B$31, 2, FALSE) * D5, 0)</f>
        <v>35000</v>
      </c>
    </row>
    <row r="6" spans="1:14" x14ac:dyDescent="0.3">
      <c r="A6" t="s">
        <v>21</v>
      </c>
      <c r="B6" s="3">
        <v>45940</v>
      </c>
      <c r="C6" s="3" t="str">
        <f t="shared" si="0"/>
        <v>Oct</v>
      </c>
      <c r="D6">
        <v>2</v>
      </c>
      <c r="E6" s="7">
        <f>IFERROR(VLOOKUP(A6, PriceTable!$A$1:$B$31, 2, FALSE) * D6, 0)</f>
        <v>40000</v>
      </c>
    </row>
    <row r="7" spans="1:14" x14ac:dyDescent="0.3">
      <c r="A7" t="s">
        <v>22</v>
      </c>
      <c r="B7" s="3">
        <v>45940</v>
      </c>
      <c r="C7" s="3" t="str">
        <f t="shared" si="0"/>
        <v>Oct</v>
      </c>
      <c r="D7">
        <v>1</v>
      </c>
      <c r="E7" s="7">
        <f>IFERROR(VLOOKUP(A7, PriceTable!$A$1:$B$31, 2, FALSE) * D7, 0)</f>
        <v>20000</v>
      </c>
    </row>
    <row r="8" spans="1:14" x14ac:dyDescent="0.3">
      <c r="A8" t="s">
        <v>23</v>
      </c>
      <c r="B8" s="3">
        <v>45940</v>
      </c>
      <c r="C8" s="3" t="str">
        <f t="shared" si="0"/>
        <v>Oct</v>
      </c>
      <c r="D8">
        <v>1</v>
      </c>
      <c r="E8" s="7">
        <f>IFERROR(VLOOKUP(A8, PriceTable!$A$1:$B$31, 2, FALSE) * D8, 0)</f>
        <v>0</v>
      </c>
    </row>
    <row r="9" spans="1:14" ht="28.8" x14ac:dyDescent="0.3">
      <c r="A9" s="2" t="s">
        <v>5</v>
      </c>
      <c r="B9" s="3">
        <v>45940</v>
      </c>
      <c r="C9" s="3" t="str">
        <f t="shared" si="0"/>
        <v>Oct</v>
      </c>
      <c r="D9">
        <v>1</v>
      </c>
      <c r="E9" s="7">
        <f>IFERROR(VLOOKUP(A9, PriceTable!$A$1:$B$31, 2, FALSE) * D9, 0)</f>
        <v>10000</v>
      </c>
      <c r="K9" t="s">
        <v>52</v>
      </c>
      <c r="L9" s="12">
        <f>SUM(E2:E66)</f>
        <v>1896000</v>
      </c>
      <c r="N9" t="s">
        <v>55</v>
      </c>
    </row>
    <row r="10" spans="1:14" ht="28.8" x14ac:dyDescent="0.3">
      <c r="A10" s="2" t="s">
        <v>5</v>
      </c>
      <c r="B10" s="3">
        <v>45941</v>
      </c>
      <c r="C10" s="3" t="str">
        <f>TEXT(B10, "mmm")</f>
        <v>Oct</v>
      </c>
      <c r="D10">
        <v>2</v>
      </c>
      <c r="E10" s="7">
        <f>IFERROR(VLOOKUP(A10, PriceTable!$A$1:$B$31, 2, FALSE) * D10, 0)</f>
        <v>20000</v>
      </c>
      <c r="K10" t="s">
        <v>53</v>
      </c>
      <c r="L10" s="12">
        <f>SUM(E67:E121)</f>
        <v>1039000</v>
      </c>
      <c r="N10" s="7">
        <f>SUM(L9:L11)</f>
        <v>5987000</v>
      </c>
    </row>
    <row r="11" spans="1:14" x14ac:dyDescent="0.3">
      <c r="A11" t="s">
        <v>23</v>
      </c>
      <c r="B11" s="3">
        <v>45941</v>
      </c>
      <c r="C11" s="3" t="str">
        <f t="shared" si="0"/>
        <v>Oct</v>
      </c>
      <c r="D11">
        <v>1</v>
      </c>
      <c r="E11" s="7">
        <f>IFERROR(VLOOKUP(A11, PriceTable!$A$1:$B$31, 2, FALSE) * D11, 0)</f>
        <v>0</v>
      </c>
      <c r="K11" t="s">
        <v>54</v>
      </c>
      <c r="L11" s="12">
        <f>SUM(E122:E228)</f>
        <v>3052000</v>
      </c>
    </row>
    <row r="12" spans="1:14" x14ac:dyDescent="0.3">
      <c r="A12" t="s">
        <v>26</v>
      </c>
      <c r="B12" s="3">
        <v>45941</v>
      </c>
      <c r="C12" s="3" t="str">
        <f t="shared" si="0"/>
        <v>Oct</v>
      </c>
      <c r="D12">
        <v>1</v>
      </c>
      <c r="E12" s="7">
        <f>IFERROR(VLOOKUP(A12, PriceTable!$A$1:$B$31, 2, FALSE) * D12, 0)</f>
        <v>25000</v>
      </c>
    </row>
    <row r="13" spans="1:14" x14ac:dyDescent="0.3">
      <c r="A13" t="s">
        <v>22</v>
      </c>
      <c r="B13" s="3">
        <v>45941</v>
      </c>
      <c r="C13" s="3" t="str">
        <f t="shared" si="0"/>
        <v>Oct</v>
      </c>
      <c r="D13">
        <v>1</v>
      </c>
      <c r="E13" s="7">
        <f>IFERROR(VLOOKUP(A13, PriceTable!$A$1:$B$31, 2, FALSE) * D13, 0)</f>
        <v>20000</v>
      </c>
    </row>
    <row r="14" spans="1:14" x14ac:dyDescent="0.3">
      <c r="A14" t="s">
        <v>21</v>
      </c>
      <c r="B14" s="3">
        <v>45941</v>
      </c>
      <c r="C14" s="3" t="str">
        <f t="shared" si="0"/>
        <v>Oct</v>
      </c>
      <c r="D14">
        <v>1</v>
      </c>
      <c r="E14" s="7">
        <f>IFERROR(VLOOKUP(A14, PriceTable!$A$1:$B$31, 2, FALSE) * D14, 0)</f>
        <v>20000</v>
      </c>
    </row>
    <row r="15" spans="1:14" x14ac:dyDescent="0.3">
      <c r="A15" t="s">
        <v>24</v>
      </c>
      <c r="B15" s="3">
        <v>45943</v>
      </c>
      <c r="C15" s="3" t="str">
        <f t="shared" si="0"/>
        <v>Oct</v>
      </c>
      <c r="D15">
        <v>2</v>
      </c>
      <c r="E15" s="7">
        <f>IFERROR(VLOOKUP(A15, PriceTable!$A$1:$B$31, 2, FALSE) * D15, 0)</f>
        <v>70000</v>
      </c>
    </row>
    <row r="16" spans="1:14" ht="28.8" x14ac:dyDescent="0.3">
      <c r="A16" s="2" t="s">
        <v>5</v>
      </c>
      <c r="B16" s="3">
        <v>45943</v>
      </c>
      <c r="C16" s="3" t="str">
        <f t="shared" si="0"/>
        <v>Oct</v>
      </c>
      <c r="D16">
        <v>1</v>
      </c>
      <c r="E16" s="7">
        <f>IFERROR(VLOOKUP(A16, PriceTable!$A$1:$B$31, 2, FALSE) * D16, 0)</f>
        <v>10000</v>
      </c>
    </row>
    <row r="17" spans="1:5" x14ac:dyDescent="0.3">
      <c r="A17" t="s">
        <v>27</v>
      </c>
      <c r="B17" s="3">
        <v>45943</v>
      </c>
      <c r="C17" s="3" t="str">
        <f t="shared" si="0"/>
        <v>Oct</v>
      </c>
      <c r="D17">
        <v>1</v>
      </c>
      <c r="E17" s="7">
        <f>IFERROR(VLOOKUP(A17, PriceTable!$A$1:$B$31, 2, FALSE) * D17, 0)</f>
        <v>10000</v>
      </c>
    </row>
    <row r="18" spans="1:5" ht="28.8" x14ac:dyDescent="0.3">
      <c r="A18" s="2" t="s">
        <v>5</v>
      </c>
      <c r="B18" s="3">
        <v>45945</v>
      </c>
      <c r="C18" s="3" t="str">
        <f t="shared" si="0"/>
        <v>Oct</v>
      </c>
      <c r="D18">
        <v>1</v>
      </c>
      <c r="E18" s="7">
        <f>IFERROR(VLOOKUP(A18, PriceTable!$A$1:$B$31, 2, FALSE) * D18, 0)</f>
        <v>10000</v>
      </c>
    </row>
    <row r="19" spans="1:5" x14ac:dyDescent="0.3">
      <c r="A19" t="s">
        <v>59</v>
      </c>
      <c r="B19" s="3">
        <v>45945</v>
      </c>
      <c r="C19" s="3" t="str">
        <f t="shared" si="0"/>
        <v>Oct</v>
      </c>
      <c r="D19">
        <v>1</v>
      </c>
      <c r="E19" s="7">
        <f>IFERROR(VLOOKUP(A18, PriceTable!$A$1:$B$31, 2, FALSE) * D18, 0)</f>
        <v>10000</v>
      </c>
    </row>
    <row r="20" spans="1:5" x14ac:dyDescent="0.3">
      <c r="A20" s="2" t="s">
        <v>21</v>
      </c>
      <c r="B20" s="3">
        <v>45945</v>
      </c>
      <c r="C20" s="3" t="str">
        <f t="shared" si="0"/>
        <v>Oct</v>
      </c>
      <c r="D20">
        <v>1</v>
      </c>
      <c r="E20" s="7">
        <f>IFERROR(VLOOKUP(A20, PriceTable!$A$1:$B$31, 2, FALSE) * D20, 0)</f>
        <v>20000</v>
      </c>
    </row>
    <row r="21" spans="1:5" x14ac:dyDescent="0.3">
      <c r="A21" t="s">
        <v>31</v>
      </c>
      <c r="B21" s="3">
        <v>45945</v>
      </c>
      <c r="C21" s="3" t="str">
        <f t="shared" si="0"/>
        <v>Oct</v>
      </c>
      <c r="D21">
        <v>1</v>
      </c>
      <c r="E21" s="7">
        <f>IFERROR(VLOOKUP(A21, PriceTable!$A$1:$B$31, 2, FALSE) * D21, 0)</f>
        <v>20000</v>
      </c>
    </row>
    <row r="22" spans="1:5" x14ac:dyDescent="0.3">
      <c r="A22" s="2" t="s">
        <v>24</v>
      </c>
      <c r="B22" s="3">
        <v>45948</v>
      </c>
      <c r="C22" s="3" t="str">
        <f t="shared" si="0"/>
        <v>Oct</v>
      </c>
      <c r="D22">
        <v>1</v>
      </c>
      <c r="E22" s="7">
        <f>IFERROR(VLOOKUP(A22, PriceTable!$A$1:$B$31, 2, FALSE) * D22, 0)</f>
        <v>35000</v>
      </c>
    </row>
    <row r="23" spans="1:5" x14ac:dyDescent="0.3">
      <c r="A23" t="s">
        <v>28</v>
      </c>
      <c r="B23" s="3">
        <v>45948</v>
      </c>
      <c r="C23" s="3" t="str">
        <f t="shared" si="0"/>
        <v>Oct</v>
      </c>
      <c r="D23">
        <v>1</v>
      </c>
      <c r="E23" s="7">
        <f>IFERROR(VLOOKUP(A23, PriceTable!$A$1:$B$31, 2, FALSE) * D23, 0)</f>
        <v>25000</v>
      </c>
    </row>
    <row r="24" spans="1:5" x14ac:dyDescent="0.3">
      <c r="A24" s="2" t="s">
        <v>22</v>
      </c>
      <c r="B24" s="3">
        <v>45948</v>
      </c>
      <c r="C24" s="3" t="str">
        <f t="shared" si="0"/>
        <v>Oct</v>
      </c>
      <c r="D24">
        <v>1</v>
      </c>
      <c r="E24" s="7">
        <f>IFERROR(VLOOKUP(A24, PriceTable!$A$1:$B$31, 2, FALSE) * D24, 0)</f>
        <v>20000</v>
      </c>
    </row>
    <row r="25" spans="1:5" ht="28.8" x14ac:dyDescent="0.3">
      <c r="A25" s="2" t="s">
        <v>5</v>
      </c>
      <c r="B25" s="3">
        <v>45948</v>
      </c>
      <c r="C25" s="3" t="str">
        <f t="shared" si="0"/>
        <v>Oct</v>
      </c>
      <c r="D25">
        <v>1</v>
      </c>
      <c r="E25" s="7">
        <f>IFERROR(VLOOKUP(A25, PriceTable!$A$1:$B$31, 2, FALSE) * D25, 0)</f>
        <v>10000</v>
      </c>
    </row>
    <row r="26" spans="1:5" x14ac:dyDescent="0.3">
      <c r="A26" s="2" t="s">
        <v>27</v>
      </c>
      <c r="B26" s="3">
        <v>45948</v>
      </c>
      <c r="C26" s="3" t="str">
        <f t="shared" si="0"/>
        <v>Oct</v>
      </c>
      <c r="D26">
        <v>1</v>
      </c>
      <c r="E26" s="7">
        <f>IFERROR(VLOOKUP(A26, PriceTable!$A$1:$B$31, 2, FALSE) * D26, 0)</f>
        <v>10000</v>
      </c>
    </row>
    <row r="27" spans="1:5" x14ac:dyDescent="0.3">
      <c r="A27" s="2" t="s">
        <v>29</v>
      </c>
      <c r="B27" s="3">
        <v>45948</v>
      </c>
      <c r="C27" s="3" t="str">
        <f t="shared" si="0"/>
        <v>Oct</v>
      </c>
      <c r="D27">
        <v>1</v>
      </c>
      <c r="E27" s="7">
        <f>IFERROR(VLOOKUP(A27, PriceTable!$A$1:$B$31, 2, FALSE) * D27, 0)</f>
        <v>5000</v>
      </c>
    </row>
    <row r="28" spans="1:5" x14ac:dyDescent="0.3">
      <c r="A28" s="2" t="s">
        <v>22</v>
      </c>
      <c r="B28" s="3">
        <v>45951</v>
      </c>
      <c r="C28" s="3" t="str">
        <f t="shared" si="0"/>
        <v>Oct</v>
      </c>
      <c r="D28">
        <v>1</v>
      </c>
      <c r="E28" s="7">
        <f>IFERROR(VLOOKUP(A28, PriceTable!$A$1:$B$31, 2, FALSE) * D28, 0)</f>
        <v>20000</v>
      </c>
    </row>
    <row r="29" spans="1:5" x14ac:dyDescent="0.3">
      <c r="A29" s="2" t="s">
        <v>30</v>
      </c>
      <c r="B29" s="3">
        <v>45951</v>
      </c>
      <c r="C29" s="3" t="str">
        <f t="shared" si="0"/>
        <v>Oct</v>
      </c>
      <c r="D29">
        <v>2</v>
      </c>
      <c r="E29" s="7">
        <f>IFERROR(VLOOKUP(A29, PriceTable!$A$1:$B$31, 2, FALSE) * D29, 0)</f>
        <v>20000</v>
      </c>
    </row>
    <row r="30" spans="1:5" x14ac:dyDescent="0.3">
      <c r="A30" s="2" t="s">
        <v>20</v>
      </c>
      <c r="B30" s="3">
        <v>45953</v>
      </c>
      <c r="C30" s="3" t="str">
        <f t="shared" si="0"/>
        <v>Oct</v>
      </c>
      <c r="D30">
        <v>2</v>
      </c>
      <c r="E30" s="7">
        <f>IFERROR(VLOOKUP(A30, PriceTable!$A$1:$B$31, 2, FALSE) * D30, 0)</f>
        <v>70000</v>
      </c>
    </row>
    <row r="31" spans="1:5" x14ac:dyDescent="0.3">
      <c r="A31" s="2" t="s">
        <v>23</v>
      </c>
      <c r="B31" s="3">
        <v>45953</v>
      </c>
      <c r="C31" s="3" t="str">
        <f t="shared" si="0"/>
        <v>Oct</v>
      </c>
      <c r="D31">
        <v>2</v>
      </c>
      <c r="E31" s="7">
        <f>IFERROR(VLOOKUP(A31, PriceTable!$A$1:$B$31, 2, FALSE) * D31, 0)</f>
        <v>0</v>
      </c>
    </row>
    <row r="32" spans="1:5" ht="28.8" x14ac:dyDescent="0.3">
      <c r="A32" s="2" t="s">
        <v>5</v>
      </c>
      <c r="B32" s="3">
        <v>45953</v>
      </c>
      <c r="C32" s="3" t="str">
        <f t="shared" si="0"/>
        <v>Oct</v>
      </c>
      <c r="D32">
        <v>2</v>
      </c>
      <c r="E32" s="7">
        <f>IFERROR(VLOOKUP(A32, PriceTable!$A$1:$B$31, 2, FALSE) * D32, 0)</f>
        <v>20000</v>
      </c>
    </row>
    <row r="33" spans="1:5" x14ac:dyDescent="0.3">
      <c r="A33" s="2" t="s">
        <v>24</v>
      </c>
      <c r="B33" s="3">
        <v>45953</v>
      </c>
      <c r="C33" s="3" t="str">
        <f t="shared" si="0"/>
        <v>Oct</v>
      </c>
      <c r="D33">
        <v>1</v>
      </c>
      <c r="E33" s="7">
        <f>IFERROR(VLOOKUP(A33, PriceTable!$A$1:$B$31, 2, FALSE) * D33, 0)</f>
        <v>35000</v>
      </c>
    </row>
    <row r="34" spans="1:5" x14ac:dyDescent="0.3">
      <c r="A34" s="2" t="s">
        <v>22</v>
      </c>
      <c r="B34" s="3">
        <v>45953</v>
      </c>
      <c r="C34" s="3" t="str">
        <f t="shared" si="0"/>
        <v>Oct</v>
      </c>
      <c r="D34">
        <v>1</v>
      </c>
      <c r="E34" s="7">
        <f>IFERROR(VLOOKUP(A34, PriceTable!$A$1:$B$31, 2, FALSE) * D34, 0)</f>
        <v>20000</v>
      </c>
    </row>
    <row r="35" spans="1:5" ht="28.8" x14ac:dyDescent="0.3">
      <c r="A35" s="2" t="s">
        <v>5</v>
      </c>
      <c r="B35" s="3">
        <v>45954</v>
      </c>
      <c r="C35" s="3" t="str">
        <f t="shared" si="0"/>
        <v>Oct</v>
      </c>
      <c r="D35">
        <v>1</v>
      </c>
      <c r="E35" s="7">
        <f>IFERROR(VLOOKUP(A35, PriceTable!$A$1:$B$31, 2, FALSE) * D35, 0)</f>
        <v>10000</v>
      </c>
    </row>
    <row r="36" spans="1:5" x14ac:dyDescent="0.3">
      <c r="A36" s="2" t="s">
        <v>23</v>
      </c>
      <c r="B36" s="3">
        <v>45954</v>
      </c>
      <c r="C36" s="3" t="str">
        <f t="shared" si="0"/>
        <v>Oct</v>
      </c>
      <c r="D36">
        <v>1</v>
      </c>
      <c r="E36" s="7">
        <f>IFERROR(VLOOKUP(A36, PriceTable!$A$1:$B$31, 2, FALSE) * D36, 0)</f>
        <v>0</v>
      </c>
    </row>
    <row r="37" spans="1:5" x14ac:dyDescent="0.3">
      <c r="A37" s="2" t="s">
        <v>22</v>
      </c>
      <c r="B37" s="3">
        <v>45954</v>
      </c>
      <c r="C37" s="3" t="str">
        <f t="shared" si="0"/>
        <v>Oct</v>
      </c>
      <c r="D37">
        <v>1</v>
      </c>
      <c r="E37" s="7">
        <f>IFERROR(VLOOKUP(A37, PriceTable!$A$1:$B$31, 2, FALSE) * D37, 0)</f>
        <v>20000</v>
      </c>
    </row>
    <row r="38" spans="1:5" x14ac:dyDescent="0.3">
      <c r="A38" s="2" t="s">
        <v>30</v>
      </c>
      <c r="B38" s="3">
        <v>45954</v>
      </c>
      <c r="C38" s="3" t="str">
        <f t="shared" si="0"/>
        <v>Oct</v>
      </c>
      <c r="D38">
        <v>2</v>
      </c>
      <c r="E38" s="7">
        <f>IFERROR(VLOOKUP(A38, PriceTable!$A$1:$B$31, 2, FALSE) * D38, 0)</f>
        <v>20000</v>
      </c>
    </row>
    <row r="39" spans="1:5" x14ac:dyDescent="0.3">
      <c r="A39" s="2" t="s">
        <v>27</v>
      </c>
      <c r="B39" s="3">
        <v>45954</v>
      </c>
      <c r="C39" s="3" t="str">
        <f t="shared" si="0"/>
        <v>Oct</v>
      </c>
      <c r="D39">
        <v>1</v>
      </c>
      <c r="E39" s="7">
        <f>IFERROR(VLOOKUP(A39, PriceTable!$A$1:$B$31, 2, FALSE) * D39, 0)</f>
        <v>10000</v>
      </c>
    </row>
    <row r="40" spans="1:5" x14ac:dyDescent="0.3">
      <c r="A40" s="2" t="s">
        <v>31</v>
      </c>
      <c r="B40" s="3">
        <v>45954</v>
      </c>
      <c r="C40" s="3" t="str">
        <f t="shared" si="0"/>
        <v>Oct</v>
      </c>
      <c r="D40">
        <v>4</v>
      </c>
      <c r="E40" s="7">
        <f>IFERROR(VLOOKUP(A40, PriceTable!$A$1:$B$31, 2, FALSE) * D40, 0)</f>
        <v>80000</v>
      </c>
    </row>
    <row r="41" spans="1:5" x14ac:dyDescent="0.3">
      <c r="A41" s="2" t="s">
        <v>17</v>
      </c>
      <c r="B41" s="3">
        <v>45954</v>
      </c>
      <c r="C41" s="3" t="str">
        <f t="shared" si="0"/>
        <v>Oct</v>
      </c>
      <c r="D41">
        <v>1</v>
      </c>
      <c r="E41" s="7">
        <f>IFERROR(VLOOKUP(A41, PriceTable!$A$1:$B$31, 2, FALSE) * D41, 0)</f>
        <v>17000</v>
      </c>
    </row>
    <row r="42" spans="1:5" x14ac:dyDescent="0.3">
      <c r="A42" s="2" t="s">
        <v>20</v>
      </c>
      <c r="B42" s="3">
        <v>45954</v>
      </c>
      <c r="C42" s="3" t="str">
        <f t="shared" si="0"/>
        <v>Oct</v>
      </c>
      <c r="D42">
        <v>1</v>
      </c>
      <c r="E42" s="7">
        <f>IFERROR(VLOOKUP(A42, PriceTable!$A$1:$B$31, 2, FALSE) * D42, 0)</f>
        <v>35000</v>
      </c>
    </row>
    <row r="43" spans="1:5" x14ac:dyDescent="0.3">
      <c r="A43" s="2" t="s">
        <v>20</v>
      </c>
      <c r="B43" s="3">
        <v>45955</v>
      </c>
      <c r="C43" s="3" t="str">
        <f t="shared" si="0"/>
        <v>Oct</v>
      </c>
      <c r="D43">
        <v>1</v>
      </c>
      <c r="E43" s="7">
        <f>IFERROR(VLOOKUP(A43, PriceTable!$A$1:$B$31, 2, FALSE) * D43, 0)</f>
        <v>35000</v>
      </c>
    </row>
    <row r="44" spans="1:5" ht="28.8" x14ac:dyDescent="0.3">
      <c r="A44" s="2" t="s">
        <v>5</v>
      </c>
      <c r="B44" s="3">
        <v>45955</v>
      </c>
      <c r="C44" s="3" t="str">
        <f t="shared" si="0"/>
        <v>Oct</v>
      </c>
      <c r="D44">
        <v>3</v>
      </c>
      <c r="E44" s="7">
        <f>IFERROR(VLOOKUP(A44, PriceTable!$A$1:$B$31, 2, FALSE) * D44, 0)</f>
        <v>30000</v>
      </c>
    </row>
    <row r="45" spans="1:5" x14ac:dyDescent="0.3">
      <c r="A45" s="2" t="s">
        <v>23</v>
      </c>
      <c r="B45" s="3">
        <v>45955</v>
      </c>
      <c r="C45" s="3" t="str">
        <f t="shared" si="0"/>
        <v>Oct</v>
      </c>
      <c r="D45">
        <v>1</v>
      </c>
      <c r="E45" s="7">
        <f>IFERROR(VLOOKUP(A45, PriceTable!$A$1:$B$31, 2, FALSE) * D45, 0)</f>
        <v>0</v>
      </c>
    </row>
    <row r="46" spans="1:5" x14ac:dyDescent="0.3">
      <c r="A46" s="2" t="s">
        <v>32</v>
      </c>
      <c r="B46" s="3">
        <v>45955</v>
      </c>
      <c r="C46" s="3" t="str">
        <f t="shared" si="0"/>
        <v>Oct</v>
      </c>
      <c r="D46">
        <v>1</v>
      </c>
      <c r="E46" s="7">
        <f>IFERROR(VLOOKUP(A46, PriceTable!$A$1:$B$31, 2, FALSE) * D46, 0)</f>
        <v>15000</v>
      </c>
    </row>
    <row r="47" spans="1:5" x14ac:dyDescent="0.3">
      <c r="A47" s="2" t="s">
        <v>33</v>
      </c>
      <c r="B47" s="3">
        <v>45955</v>
      </c>
      <c r="C47" s="3" t="str">
        <f t="shared" si="0"/>
        <v>Oct</v>
      </c>
      <c r="D47">
        <v>1</v>
      </c>
      <c r="E47" s="7">
        <f>IFERROR(VLOOKUP(A47, PriceTable!$A$1:$B$31, 2, FALSE) * D47, 0)</f>
        <v>55000</v>
      </c>
    </row>
    <row r="48" spans="1:5" x14ac:dyDescent="0.3">
      <c r="A48" s="2" t="s">
        <v>34</v>
      </c>
      <c r="B48" s="3">
        <v>45955</v>
      </c>
      <c r="C48" s="3" t="str">
        <f t="shared" si="0"/>
        <v>Oct</v>
      </c>
      <c r="D48">
        <v>1</v>
      </c>
      <c r="E48" s="7">
        <f>IFERROR(VLOOKUP(A48, PriceTable!$A$1:$B$31, 2, FALSE) * D48, 0)</f>
        <v>25000</v>
      </c>
    </row>
    <row r="49" spans="1:5" x14ac:dyDescent="0.3">
      <c r="A49" s="2" t="s">
        <v>25</v>
      </c>
      <c r="B49" s="3">
        <v>45955</v>
      </c>
      <c r="C49" s="3" t="str">
        <f t="shared" si="0"/>
        <v>Oct</v>
      </c>
      <c r="D49">
        <v>1</v>
      </c>
      <c r="E49" s="7">
        <f>IFERROR(VLOOKUP(A49, PriceTable!$A$1:$B$31, 2, FALSE) * D49, 0)</f>
        <v>35000</v>
      </c>
    </row>
    <row r="50" spans="1:5" x14ac:dyDescent="0.3">
      <c r="A50" s="2" t="s">
        <v>30</v>
      </c>
      <c r="B50" s="3">
        <v>45955</v>
      </c>
      <c r="C50" s="3" t="str">
        <f t="shared" si="0"/>
        <v>Oct</v>
      </c>
      <c r="D50">
        <v>1</v>
      </c>
      <c r="E50" s="7">
        <f>IFERROR(VLOOKUP(A50, PriceTable!$A$1:$B$31, 2, FALSE) * D50, 0)</f>
        <v>10000</v>
      </c>
    </row>
    <row r="51" spans="1:5" x14ac:dyDescent="0.3">
      <c r="A51" s="2" t="s">
        <v>26</v>
      </c>
      <c r="B51" s="3">
        <v>45955</v>
      </c>
      <c r="C51" s="3" t="str">
        <f t="shared" si="0"/>
        <v>Oct</v>
      </c>
      <c r="D51">
        <v>1</v>
      </c>
      <c r="E51" s="7">
        <f>IFERROR(VLOOKUP(A51, PriceTable!$A$1:$B$31, 2, FALSE) * D51, 0)</f>
        <v>25000</v>
      </c>
    </row>
    <row r="52" spans="1:5" x14ac:dyDescent="0.3">
      <c r="A52" s="2" t="s">
        <v>25</v>
      </c>
      <c r="B52" s="3">
        <v>45957</v>
      </c>
      <c r="C52" s="3" t="str">
        <f t="shared" si="0"/>
        <v>Oct</v>
      </c>
      <c r="D52">
        <v>4</v>
      </c>
      <c r="E52" s="7">
        <f>IFERROR(VLOOKUP(A52, PriceTable!$A$1:$B$31, 2, FALSE) * D52, 0)</f>
        <v>140000</v>
      </c>
    </row>
    <row r="53" spans="1:5" x14ac:dyDescent="0.3">
      <c r="A53" s="2" t="s">
        <v>20</v>
      </c>
      <c r="B53" s="3">
        <v>45957</v>
      </c>
      <c r="C53" s="3" t="str">
        <f t="shared" si="0"/>
        <v>Oct</v>
      </c>
      <c r="D53">
        <v>1</v>
      </c>
      <c r="E53" s="7">
        <f>IFERROR(VLOOKUP(A53, PriceTable!$A$1:$B$31, 2, FALSE) * D53, 0)</f>
        <v>35000</v>
      </c>
    </row>
    <row r="54" spans="1:5" x14ac:dyDescent="0.3">
      <c r="A54" s="2" t="s">
        <v>22</v>
      </c>
      <c r="B54" s="3">
        <v>45957</v>
      </c>
      <c r="C54" s="3" t="str">
        <f t="shared" si="0"/>
        <v>Oct</v>
      </c>
      <c r="D54">
        <v>7</v>
      </c>
      <c r="E54" s="7">
        <f>IFERROR(VLOOKUP(A54, PriceTable!$A$1:$B$31, 2, FALSE) * D54, 0)</f>
        <v>140000</v>
      </c>
    </row>
    <row r="55" spans="1:5" x14ac:dyDescent="0.3">
      <c r="A55" s="2" t="s">
        <v>23</v>
      </c>
      <c r="B55" s="3">
        <v>45957</v>
      </c>
      <c r="C55" s="3" t="str">
        <f t="shared" si="0"/>
        <v>Oct</v>
      </c>
      <c r="D55">
        <v>7</v>
      </c>
      <c r="E55" s="7">
        <f>IFERROR(VLOOKUP(A55, PriceTable!$A$1:$B$31, 2, FALSE) * D55, 0)</f>
        <v>0</v>
      </c>
    </row>
    <row r="56" spans="1:5" x14ac:dyDescent="0.3">
      <c r="A56" s="2" t="s">
        <v>30</v>
      </c>
      <c r="B56" s="3">
        <v>45957</v>
      </c>
      <c r="C56" s="3" t="str">
        <f t="shared" si="0"/>
        <v>Oct</v>
      </c>
      <c r="D56">
        <v>3</v>
      </c>
      <c r="E56" s="7">
        <f>IFERROR(VLOOKUP(A56, PriceTable!$A$1:$B$31, 2, FALSE) * D56, 0)</f>
        <v>30000</v>
      </c>
    </row>
    <row r="57" spans="1:5" ht="28.8" x14ac:dyDescent="0.3">
      <c r="A57" s="2" t="s">
        <v>5</v>
      </c>
      <c r="B57" s="3">
        <v>45957</v>
      </c>
      <c r="C57" s="3" t="str">
        <f t="shared" si="0"/>
        <v>Oct</v>
      </c>
      <c r="D57">
        <v>5</v>
      </c>
      <c r="E57" s="7">
        <f>IFERROR(VLOOKUP(A57, PriceTable!$A$1:$B$31, 2, FALSE) * D57, 0)</f>
        <v>50000</v>
      </c>
    </row>
    <row r="58" spans="1:5" x14ac:dyDescent="0.3">
      <c r="A58" s="2" t="s">
        <v>35</v>
      </c>
      <c r="B58" s="3">
        <v>45957</v>
      </c>
      <c r="C58" s="3" t="str">
        <f t="shared" si="0"/>
        <v>Oct</v>
      </c>
      <c r="D58">
        <v>7</v>
      </c>
      <c r="E58" s="7">
        <f>IFERROR(VLOOKUP(A58, PriceTable!$A$1:$B$31, 2, FALSE) * D58, 0)</f>
        <v>84000</v>
      </c>
    </row>
    <row r="59" spans="1:5" x14ac:dyDescent="0.3">
      <c r="A59" s="2" t="s">
        <v>36</v>
      </c>
      <c r="B59" s="3">
        <v>45957</v>
      </c>
      <c r="C59" s="3" t="str">
        <f t="shared" si="0"/>
        <v>Oct</v>
      </c>
      <c r="D59">
        <v>1</v>
      </c>
      <c r="E59" s="7">
        <f>IFERROR(VLOOKUP(A59, PriceTable!$A$1:$B$31, 2, FALSE) * D59, 0)</f>
        <v>25000</v>
      </c>
    </row>
    <row r="60" spans="1:5" x14ac:dyDescent="0.3">
      <c r="A60" s="2" t="s">
        <v>21</v>
      </c>
      <c r="B60" s="3">
        <v>45957</v>
      </c>
      <c r="C60" s="3" t="str">
        <f t="shared" si="0"/>
        <v>Oct</v>
      </c>
      <c r="D60">
        <v>1</v>
      </c>
      <c r="E60" s="7">
        <f>IFERROR(VLOOKUP(A60, PriceTable!$A$1:$B$31, 2, FALSE) * D60, 0)</f>
        <v>20000</v>
      </c>
    </row>
    <row r="61" spans="1:5" x14ac:dyDescent="0.3">
      <c r="A61" s="2" t="s">
        <v>27</v>
      </c>
      <c r="B61" s="3">
        <v>45957</v>
      </c>
      <c r="C61" s="3" t="str">
        <f t="shared" si="0"/>
        <v>Oct</v>
      </c>
      <c r="D61">
        <v>4</v>
      </c>
      <c r="E61" s="7">
        <f>IFERROR(VLOOKUP(A61, PriceTable!$A$1:$B$31, 2, FALSE) * D61, 0)</f>
        <v>40000</v>
      </c>
    </row>
    <row r="62" spans="1:5" x14ac:dyDescent="0.3">
      <c r="A62" s="2" t="s">
        <v>26</v>
      </c>
      <c r="B62" s="3">
        <v>45957</v>
      </c>
      <c r="C62" s="3" t="str">
        <f t="shared" si="0"/>
        <v>Oct</v>
      </c>
      <c r="D62">
        <v>1</v>
      </c>
      <c r="E62" s="7">
        <f>IFERROR(VLOOKUP(A62, PriceTable!$A$1:$B$31, 2, FALSE) * D62, 0)</f>
        <v>25000</v>
      </c>
    </row>
    <row r="63" spans="1:5" x14ac:dyDescent="0.3">
      <c r="A63" s="2" t="s">
        <v>25</v>
      </c>
      <c r="B63" s="3">
        <v>45958</v>
      </c>
      <c r="C63" s="3" t="str">
        <f t="shared" si="0"/>
        <v>Oct</v>
      </c>
      <c r="D63">
        <v>2</v>
      </c>
      <c r="E63" s="7">
        <f>IFERROR(VLOOKUP(A63, PriceTable!$A$1:$B$31, 2, FALSE) * D63, 0)</f>
        <v>70000</v>
      </c>
    </row>
    <row r="64" spans="1:5" x14ac:dyDescent="0.3">
      <c r="A64" s="2" t="s">
        <v>22</v>
      </c>
      <c r="B64" s="3">
        <v>45958</v>
      </c>
      <c r="C64" s="3" t="str">
        <f t="shared" si="0"/>
        <v>Oct</v>
      </c>
      <c r="D64">
        <v>1</v>
      </c>
      <c r="E64" s="7">
        <f>IFERROR(VLOOKUP(A64, PriceTable!$A$1:$B$31, 2, FALSE) * D64, 0)</f>
        <v>20000</v>
      </c>
    </row>
    <row r="65" spans="1:5" x14ac:dyDescent="0.3">
      <c r="A65" s="2" t="s">
        <v>27</v>
      </c>
      <c r="B65" s="3">
        <v>45958</v>
      </c>
      <c r="C65" s="3" t="str">
        <f t="shared" si="0"/>
        <v>Oct</v>
      </c>
      <c r="D65">
        <v>1</v>
      </c>
      <c r="E65" s="7">
        <f>IFERROR(VLOOKUP(A65, PriceTable!$A$1:$B$31, 2, FALSE) * D65, 0)</f>
        <v>10000</v>
      </c>
    </row>
    <row r="66" spans="1:5" ht="28.8" x14ac:dyDescent="0.3">
      <c r="A66" s="2" t="s">
        <v>5</v>
      </c>
      <c r="B66" s="3">
        <v>45958</v>
      </c>
      <c r="C66" s="3" t="str">
        <f t="shared" si="0"/>
        <v>Oct</v>
      </c>
      <c r="D66">
        <v>1</v>
      </c>
      <c r="E66" s="7">
        <f>IFERROR(VLOOKUP(A66, PriceTable!$A$1:$B$31, 2, FALSE) * D66, 0)</f>
        <v>10000</v>
      </c>
    </row>
    <row r="67" spans="1:5" x14ac:dyDescent="0.3">
      <c r="A67" s="2" t="s">
        <v>23</v>
      </c>
      <c r="B67" s="3">
        <v>45965</v>
      </c>
      <c r="C67" s="3" t="str">
        <f t="shared" ref="C67:C162" si="1">TEXT(B67, "mmm")</f>
        <v>Nov</v>
      </c>
      <c r="D67">
        <v>3</v>
      </c>
      <c r="E67" s="7">
        <f>IFERROR(VLOOKUP(A67, PriceTable!$A$1:$B$31, 2, FALSE) * D67, 0)</f>
        <v>0</v>
      </c>
    </row>
    <row r="68" spans="1:5" ht="28.8" x14ac:dyDescent="0.3">
      <c r="A68" s="2" t="s">
        <v>5</v>
      </c>
      <c r="B68" s="3">
        <v>45966</v>
      </c>
      <c r="C68" s="3" t="str">
        <f t="shared" si="1"/>
        <v>Nov</v>
      </c>
      <c r="D68">
        <v>1</v>
      </c>
      <c r="E68" s="7">
        <f>IFERROR(VLOOKUP(A68, PriceTable!$A$1:$B$31, 2, FALSE) * D68, 0)</f>
        <v>10000</v>
      </c>
    </row>
    <row r="69" spans="1:5" x14ac:dyDescent="0.3">
      <c r="A69" s="2" t="s">
        <v>35</v>
      </c>
      <c r="B69" s="3">
        <v>45966</v>
      </c>
      <c r="C69" s="3" t="str">
        <f t="shared" si="1"/>
        <v>Nov</v>
      </c>
      <c r="D69">
        <v>2</v>
      </c>
      <c r="E69" s="7">
        <f>IFERROR(VLOOKUP(A69, PriceTable!$A$1:$B$31, 2, FALSE) * D69, 0)</f>
        <v>24000</v>
      </c>
    </row>
    <row r="70" spans="1:5" x14ac:dyDescent="0.3">
      <c r="A70" s="2" t="s">
        <v>21</v>
      </c>
      <c r="B70" s="3">
        <v>45966</v>
      </c>
      <c r="C70" s="3" t="str">
        <f t="shared" si="1"/>
        <v>Nov</v>
      </c>
      <c r="D70">
        <v>1</v>
      </c>
      <c r="E70" s="7">
        <f>IFERROR(VLOOKUP(A70, PriceTable!$A$1:$B$31, 2, FALSE) * D70, 0)</f>
        <v>20000</v>
      </c>
    </row>
    <row r="71" spans="1:5" x14ac:dyDescent="0.3">
      <c r="A71" s="2" t="s">
        <v>24</v>
      </c>
      <c r="B71" s="3">
        <v>45966</v>
      </c>
      <c r="C71" s="3" t="str">
        <f t="shared" si="1"/>
        <v>Nov</v>
      </c>
      <c r="D71">
        <v>1</v>
      </c>
      <c r="E71" s="7">
        <f>IFERROR(VLOOKUP(A71, PriceTable!$A$1:$B$31, 2, FALSE) * D71, 0)</f>
        <v>35000</v>
      </c>
    </row>
    <row r="72" spans="1:5" x14ac:dyDescent="0.3">
      <c r="A72" s="2" t="s">
        <v>22</v>
      </c>
      <c r="B72" s="3">
        <v>45966</v>
      </c>
      <c r="C72" s="3" t="str">
        <f t="shared" si="1"/>
        <v>Nov</v>
      </c>
      <c r="D72">
        <v>1</v>
      </c>
      <c r="E72" s="7">
        <f>IFERROR(VLOOKUP(A72, PriceTable!$A$1:$B$31, 2, FALSE) * D72, 0)</f>
        <v>20000</v>
      </c>
    </row>
    <row r="73" spans="1:5" x14ac:dyDescent="0.3">
      <c r="A73" s="2" t="s">
        <v>9</v>
      </c>
      <c r="B73" s="3">
        <v>45966</v>
      </c>
      <c r="C73" s="3" t="str">
        <f t="shared" si="1"/>
        <v>Nov</v>
      </c>
      <c r="D73">
        <v>1</v>
      </c>
      <c r="E73" s="7">
        <f>IFERROR(VLOOKUP(A73, PriceTable!$A$1:$B$31, 2, FALSE) * D73, 0)</f>
        <v>60000</v>
      </c>
    </row>
    <row r="74" spans="1:5" x14ac:dyDescent="0.3">
      <c r="A74" s="2" t="s">
        <v>36</v>
      </c>
      <c r="B74" s="3">
        <v>45966</v>
      </c>
      <c r="C74" s="3" t="str">
        <f t="shared" si="1"/>
        <v>Nov</v>
      </c>
      <c r="D74">
        <v>1</v>
      </c>
      <c r="E74" s="7">
        <f>IFERROR(VLOOKUP(A74, PriceTable!$A$1:$B$31, 2, FALSE) * D74, 0)</f>
        <v>25000</v>
      </c>
    </row>
    <row r="75" spans="1:5" x14ac:dyDescent="0.3">
      <c r="A75" s="2" t="s">
        <v>27</v>
      </c>
      <c r="B75" s="3">
        <v>45966</v>
      </c>
      <c r="C75" s="3" t="str">
        <f t="shared" si="1"/>
        <v>Nov</v>
      </c>
      <c r="D75">
        <v>1</v>
      </c>
      <c r="E75" s="7">
        <f>IFERROR(VLOOKUP(A75, PriceTable!$A$1:$B$31, 2, FALSE) * D75, 0)</f>
        <v>10000</v>
      </c>
    </row>
    <row r="76" spans="1:5" x14ac:dyDescent="0.3">
      <c r="A76" s="2" t="s">
        <v>20</v>
      </c>
      <c r="B76" s="3">
        <v>45966</v>
      </c>
      <c r="C76" s="3" t="str">
        <f t="shared" si="1"/>
        <v>Nov</v>
      </c>
      <c r="D76">
        <v>1</v>
      </c>
      <c r="E76" s="7">
        <f>IFERROR(VLOOKUP(A76, PriceTable!$A$1:$B$31, 2, FALSE) * D76, 0)</f>
        <v>35000</v>
      </c>
    </row>
    <row r="77" spans="1:5" x14ac:dyDescent="0.3">
      <c r="A77" s="2" t="s">
        <v>23</v>
      </c>
      <c r="B77" s="3">
        <v>45966</v>
      </c>
      <c r="C77" s="3" t="str">
        <f t="shared" si="1"/>
        <v>Nov</v>
      </c>
      <c r="D77">
        <v>2</v>
      </c>
      <c r="E77" s="7">
        <f>IFERROR(VLOOKUP(A77, PriceTable!$A$1:$B$31, 2, FALSE) * D77, 0)</f>
        <v>0</v>
      </c>
    </row>
    <row r="78" spans="1:5" ht="28.8" x14ac:dyDescent="0.3">
      <c r="A78" s="2" t="s">
        <v>5</v>
      </c>
      <c r="B78" s="3">
        <v>45967</v>
      </c>
      <c r="C78" s="3" t="str">
        <f t="shared" si="1"/>
        <v>Nov</v>
      </c>
      <c r="D78">
        <v>1</v>
      </c>
      <c r="E78" s="7">
        <f>IFERROR(VLOOKUP(A78, PriceTable!$A$1:$B$31, 2, FALSE) * D78, 0)</f>
        <v>10000</v>
      </c>
    </row>
    <row r="79" spans="1:5" x14ac:dyDescent="0.3">
      <c r="A79" s="2" t="s">
        <v>25</v>
      </c>
      <c r="B79" s="3">
        <v>45967</v>
      </c>
      <c r="C79" s="3" t="str">
        <f t="shared" si="1"/>
        <v>Nov</v>
      </c>
      <c r="D79">
        <v>1</v>
      </c>
      <c r="E79" s="7">
        <f>IFERROR(VLOOKUP(A79, PriceTable!$A$1:$B$31, 2, FALSE) * D79, 0)</f>
        <v>35000</v>
      </c>
    </row>
    <row r="80" spans="1:5" x14ac:dyDescent="0.3">
      <c r="A80" s="2" t="s">
        <v>30</v>
      </c>
      <c r="B80" s="3">
        <v>45968</v>
      </c>
      <c r="C80" s="3" t="str">
        <f t="shared" si="1"/>
        <v>Nov</v>
      </c>
      <c r="D80">
        <v>1</v>
      </c>
      <c r="E80" s="7">
        <f>IFERROR(VLOOKUP(A80, PriceTable!$A$1:$B$31, 2, FALSE) * D80, 0)</f>
        <v>10000</v>
      </c>
    </row>
    <row r="81" spans="1:5" ht="28.8" x14ac:dyDescent="0.3">
      <c r="A81" s="2" t="s">
        <v>5</v>
      </c>
      <c r="B81" s="3">
        <v>45968</v>
      </c>
      <c r="C81" s="3" t="str">
        <f t="shared" si="1"/>
        <v>Nov</v>
      </c>
      <c r="D81">
        <v>1</v>
      </c>
      <c r="E81" s="7">
        <f>IFERROR(VLOOKUP(A81, PriceTable!$A$1:$B$31, 2, FALSE) * D81, 0)</f>
        <v>10000</v>
      </c>
    </row>
    <row r="82" spans="1:5" x14ac:dyDescent="0.3">
      <c r="A82" t="s">
        <v>9</v>
      </c>
      <c r="B82" s="3">
        <v>45968</v>
      </c>
      <c r="C82" s="3" t="str">
        <f t="shared" si="1"/>
        <v>Nov</v>
      </c>
      <c r="D82">
        <v>1</v>
      </c>
      <c r="E82" s="7">
        <f>IFERROR(VLOOKUP(A82, PriceTable!$A$1:$B$31, 2, FALSE) * D82, 0)</f>
        <v>60000</v>
      </c>
    </row>
    <row r="83" spans="1:5" ht="28.8" x14ac:dyDescent="0.3">
      <c r="A83" s="2" t="s">
        <v>5</v>
      </c>
      <c r="B83" s="3">
        <v>45969</v>
      </c>
      <c r="C83" s="3" t="str">
        <f t="shared" si="1"/>
        <v>Nov</v>
      </c>
      <c r="D83">
        <v>1</v>
      </c>
      <c r="E83" s="7">
        <f>IFERROR(VLOOKUP(A83, PriceTable!$A$1:$B$31, 2, FALSE) * D83, 0)</f>
        <v>10000</v>
      </c>
    </row>
    <row r="84" spans="1:5" x14ac:dyDescent="0.3">
      <c r="A84" s="2" t="s">
        <v>30</v>
      </c>
      <c r="B84" s="3">
        <v>45969</v>
      </c>
      <c r="C84" s="3" t="str">
        <f t="shared" si="1"/>
        <v>Nov</v>
      </c>
      <c r="D84">
        <v>1</v>
      </c>
      <c r="E84" s="7">
        <f>IFERROR(VLOOKUP(A84, PriceTable!$A$1:$B$31, 2, FALSE) * D84, 0)</f>
        <v>10000</v>
      </c>
    </row>
    <row r="85" spans="1:5" x14ac:dyDescent="0.3">
      <c r="A85" s="2" t="s">
        <v>27</v>
      </c>
      <c r="B85" s="3">
        <v>45971</v>
      </c>
      <c r="C85" s="3" t="str">
        <f t="shared" si="1"/>
        <v>Nov</v>
      </c>
      <c r="D85">
        <v>1</v>
      </c>
      <c r="E85" s="7">
        <f>IFERROR(VLOOKUP(A85, PriceTable!$A$1:$B$31, 2, FALSE) * D85, 0)</f>
        <v>10000</v>
      </c>
    </row>
    <row r="86" spans="1:5" x14ac:dyDescent="0.3">
      <c r="A86" s="2" t="s">
        <v>2</v>
      </c>
      <c r="B86" s="3">
        <v>45971</v>
      </c>
      <c r="C86" s="3" t="str">
        <f t="shared" si="1"/>
        <v>Nov</v>
      </c>
      <c r="D86">
        <v>1</v>
      </c>
      <c r="E86" s="7">
        <f>IFERROR(VLOOKUP(A86, PriceTable!$A$1:$B$31, 2, FALSE) * D86, 0)</f>
        <v>0</v>
      </c>
    </row>
    <row r="87" spans="1:5" x14ac:dyDescent="0.3">
      <c r="A87" s="2" t="s">
        <v>33</v>
      </c>
      <c r="B87" s="3">
        <v>45971</v>
      </c>
      <c r="C87" s="3" t="str">
        <f t="shared" si="1"/>
        <v>Nov</v>
      </c>
      <c r="D87">
        <v>1</v>
      </c>
      <c r="E87" s="7">
        <f>IFERROR(VLOOKUP(A87, PriceTable!$A$1:$B$31, 2, FALSE) * D87, 0)</f>
        <v>55000</v>
      </c>
    </row>
    <row r="88" spans="1:5" ht="28.8" x14ac:dyDescent="0.3">
      <c r="A88" s="2" t="s">
        <v>5</v>
      </c>
      <c r="B88" s="3">
        <v>45971</v>
      </c>
      <c r="C88" s="3" t="str">
        <f t="shared" si="1"/>
        <v>Nov</v>
      </c>
      <c r="D88">
        <v>1</v>
      </c>
      <c r="E88" s="7">
        <f>IFERROR(VLOOKUP(A88, PriceTable!$A$1:$B$31, 2, FALSE) * D88, 0)</f>
        <v>10000</v>
      </c>
    </row>
    <row r="89" spans="1:5" x14ac:dyDescent="0.3">
      <c r="A89" s="2" t="s">
        <v>8</v>
      </c>
      <c r="B89" s="3">
        <v>45972</v>
      </c>
      <c r="C89" s="3" t="str">
        <f t="shared" si="1"/>
        <v>Nov</v>
      </c>
      <c r="D89">
        <v>1</v>
      </c>
      <c r="E89" s="7">
        <f>IFERROR(VLOOKUP(A89, PriceTable!$A$1:$B$31, 2, FALSE) * D89, 0)</f>
        <v>20000</v>
      </c>
    </row>
    <row r="90" spans="1:5" x14ac:dyDescent="0.3">
      <c r="A90" s="2" t="s">
        <v>30</v>
      </c>
      <c r="B90" s="3">
        <v>45972</v>
      </c>
      <c r="C90" s="3" t="str">
        <f t="shared" si="1"/>
        <v>Nov</v>
      </c>
      <c r="D90">
        <v>1</v>
      </c>
      <c r="E90" s="7">
        <f>IFERROR(VLOOKUP(A90, PriceTable!$A$1:$B$31, 2, FALSE) * D90, 0)</f>
        <v>10000</v>
      </c>
    </row>
    <row r="91" spans="1:5" x14ac:dyDescent="0.3">
      <c r="A91" s="2" t="s">
        <v>8</v>
      </c>
      <c r="B91" s="3">
        <v>45973</v>
      </c>
      <c r="C91" s="3" t="str">
        <f t="shared" si="1"/>
        <v>Nov</v>
      </c>
      <c r="D91">
        <v>1</v>
      </c>
      <c r="E91" s="7">
        <f>IFERROR(VLOOKUP(A91, PriceTable!$A$1:$B$31, 2, FALSE) * D91, 0)</f>
        <v>20000</v>
      </c>
    </row>
    <row r="92" spans="1:5" x14ac:dyDescent="0.3">
      <c r="A92" s="2" t="s">
        <v>35</v>
      </c>
      <c r="B92" s="3">
        <v>45973</v>
      </c>
      <c r="C92" s="3" t="str">
        <f t="shared" si="1"/>
        <v>Nov</v>
      </c>
      <c r="D92">
        <v>1</v>
      </c>
      <c r="E92" s="7">
        <f>IFERROR(VLOOKUP(A92, PriceTable!$A$1:$B$31, 2, FALSE) * D92, 0)</f>
        <v>12000</v>
      </c>
    </row>
    <row r="93" spans="1:5" ht="28.8" x14ac:dyDescent="0.3">
      <c r="A93" s="2" t="s">
        <v>5</v>
      </c>
      <c r="B93" s="3">
        <v>45973</v>
      </c>
      <c r="C93" s="3" t="str">
        <f t="shared" si="1"/>
        <v>Nov</v>
      </c>
      <c r="D93">
        <v>1</v>
      </c>
      <c r="E93" s="7">
        <f>IFERROR(VLOOKUP(A93, PriceTable!$A$1:$B$31, 2, FALSE) * D93, 0)</f>
        <v>10000</v>
      </c>
    </row>
    <row r="94" spans="1:5" x14ac:dyDescent="0.3">
      <c r="A94" s="2" t="s">
        <v>26</v>
      </c>
      <c r="B94" s="3">
        <v>45973</v>
      </c>
      <c r="C94" s="3" t="str">
        <f t="shared" si="1"/>
        <v>Nov</v>
      </c>
      <c r="D94">
        <v>1</v>
      </c>
      <c r="E94" s="7">
        <f>IFERROR(VLOOKUP(A94, PriceTable!$A$1:$B$31, 2, FALSE) * D94, 0)</f>
        <v>25000</v>
      </c>
    </row>
    <row r="95" spans="1:5" x14ac:dyDescent="0.3">
      <c r="A95" s="2" t="s">
        <v>8</v>
      </c>
      <c r="B95" s="3">
        <v>45974</v>
      </c>
      <c r="C95" s="3" t="str">
        <f t="shared" si="1"/>
        <v>Nov</v>
      </c>
      <c r="D95">
        <v>2</v>
      </c>
      <c r="E95" s="7">
        <f>IFERROR(VLOOKUP(A95, PriceTable!$A$1:$B$31, 2, FALSE) * D95, 0)</f>
        <v>40000</v>
      </c>
    </row>
    <row r="96" spans="1:5" x14ac:dyDescent="0.3">
      <c r="A96" s="2" t="s">
        <v>35</v>
      </c>
      <c r="B96" s="3">
        <v>45974</v>
      </c>
      <c r="C96" s="3" t="str">
        <f t="shared" si="1"/>
        <v>Nov</v>
      </c>
      <c r="D96">
        <v>3</v>
      </c>
      <c r="E96" s="7">
        <f>IFERROR(VLOOKUP(A96, PriceTable!$A$1:$B$31, 2, FALSE) * D96, 0)</f>
        <v>36000</v>
      </c>
    </row>
    <row r="97" spans="1:5" x14ac:dyDescent="0.3">
      <c r="A97" s="2" t="s">
        <v>8</v>
      </c>
      <c r="B97" s="3">
        <v>45975</v>
      </c>
      <c r="C97" s="3" t="str">
        <f t="shared" si="1"/>
        <v>Nov</v>
      </c>
      <c r="D97">
        <v>1</v>
      </c>
      <c r="E97" s="7">
        <f>IFERROR(VLOOKUP(A97, PriceTable!$A$1:$B$31, 2, FALSE) * D97, 0)</f>
        <v>20000</v>
      </c>
    </row>
    <row r="98" spans="1:5" x14ac:dyDescent="0.3">
      <c r="A98" s="2" t="s">
        <v>2</v>
      </c>
      <c r="B98" s="3">
        <v>45975</v>
      </c>
      <c r="C98" s="3" t="str">
        <f t="shared" si="1"/>
        <v>Nov</v>
      </c>
      <c r="D98">
        <v>1</v>
      </c>
      <c r="E98" s="7">
        <f>IFERROR(VLOOKUP(A98, PriceTable!$A$1:$B$31, 2, FALSE) * D98, 0)</f>
        <v>0</v>
      </c>
    </row>
    <row r="99" spans="1:5" ht="28.8" x14ac:dyDescent="0.3">
      <c r="A99" s="2" t="s">
        <v>5</v>
      </c>
      <c r="B99" s="3">
        <v>45975</v>
      </c>
      <c r="C99" s="3" t="str">
        <f t="shared" si="1"/>
        <v>Nov</v>
      </c>
      <c r="D99">
        <v>1</v>
      </c>
      <c r="E99" s="7">
        <f>IFERROR(VLOOKUP(A99, PriceTable!$A$1:$B$31, 2, FALSE) * D99, 0)</f>
        <v>10000</v>
      </c>
    </row>
    <row r="100" spans="1:5" x14ac:dyDescent="0.3">
      <c r="A100" s="2" t="s">
        <v>35</v>
      </c>
      <c r="B100" s="3">
        <v>45976</v>
      </c>
      <c r="C100" s="3" t="str">
        <f t="shared" si="1"/>
        <v>Nov</v>
      </c>
      <c r="D100">
        <v>1</v>
      </c>
      <c r="E100" s="7">
        <f>IFERROR(VLOOKUP(A100, PriceTable!$A$1:$B$31, 2, FALSE) * D100, 0)</f>
        <v>12000</v>
      </c>
    </row>
    <row r="101" spans="1:5" x14ac:dyDescent="0.3">
      <c r="A101" s="2" t="s">
        <v>2</v>
      </c>
      <c r="B101" s="3">
        <v>45978</v>
      </c>
      <c r="C101" s="3" t="str">
        <f t="shared" si="1"/>
        <v>Nov</v>
      </c>
      <c r="D101">
        <v>4</v>
      </c>
      <c r="E101" s="7">
        <f>IFERROR(VLOOKUP(A101, PriceTable!$A$1:$B$31, 2, FALSE) * D101, 0)</f>
        <v>0</v>
      </c>
    </row>
    <row r="102" spans="1:5" x14ac:dyDescent="0.3">
      <c r="A102" s="2" t="s">
        <v>8</v>
      </c>
      <c r="B102" s="3">
        <v>45979</v>
      </c>
      <c r="C102" s="3" t="str">
        <f t="shared" si="1"/>
        <v>Nov</v>
      </c>
      <c r="D102">
        <v>2</v>
      </c>
      <c r="E102" s="7">
        <f>IFERROR(VLOOKUP(A102, PriceTable!$A$1:$B$31, 2, FALSE) * D102, 0)</f>
        <v>40000</v>
      </c>
    </row>
    <row r="103" spans="1:5" x14ac:dyDescent="0.3">
      <c r="A103" s="2" t="s">
        <v>30</v>
      </c>
      <c r="B103" s="3">
        <v>45979</v>
      </c>
      <c r="C103" s="3" t="str">
        <f t="shared" si="1"/>
        <v>Nov</v>
      </c>
      <c r="D103">
        <v>4</v>
      </c>
      <c r="E103" s="7">
        <f>IFERROR(VLOOKUP(A103, PriceTable!$A$1:$B$31, 2, FALSE) * D103, 0)</f>
        <v>40000</v>
      </c>
    </row>
    <row r="104" spans="1:5" ht="28.8" x14ac:dyDescent="0.3">
      <c r="A104" s="2" t="s">
        <v>5</v>
      </c>
      <c r="B104" s="3">
        <v>45979</v>
      </c>
      <c r="C104" s="3" t="str">
        <f t="shared" si="1"/>
        <v>Nov</v>
      </c>
      <c r="D104">
        <v>3</v>
      </c>
      <c r="E104" s="7">
        <f>IFERROR(VLOOKUP(A104, PriceTable!$A$1:$B$31, 2, FALSE) * D104, 0)</f>
        <v>30000</v>
      </c>
    </row>
    <row r="105" spans="1:5" x14ac:dyDescent="0.3">
      <c r="A105" s="2" t="s">
        <v>35</v>
      </c>
      <c r="B105" s="3">
        <v>45979</v>
      </c>
      <c r="C105" s="3" t="str">
        <f t="shared" si="1"/>
        <v>Nov</v>
      </c>
      <c r="D105">
        <v>3</v>
      </c>
      <c r="E105" s="7">
        <f>IFERROR(VLOOKUP(A105, PriceTable!$A$1:$B$31, 2, FALSE) * D105, 0)</f>
        <v>36000</v>
      </c>
    </row>
    <row r="106" spans="1:5" x14ac:dyDescent="0.3">
      <c r="A106" s="2" t="s">
        <v>38</v>
      </c>
      <c r="B106" s="3">
        <v>45979</v>
      </c>
      <c r="C106" s="3" t="str">
        <f t="shared" si="1"/>
        <v>Nov</v>
      </c>
      <c r="D106">
        <v>1</v>
      </c>
      <c r="E106" s="7">
        <f>IFERROR(VLOOKUP(A106, PriceTable!$A$1:$B$31, 2, FALSE) * D106, 0)</f>
        <v>7000</v>
      </c>
    </row>
    <row r="107" spans="1:5" x14ac:dyDescent="0.3">
      <c r="A107" s="2" t="s">
        <v>27</v>
      </c>
      <c r="B107" s="3">
        <v>45979</v>
      </c>
      <c r="C107" s="3" t="str">
        <f t="shared" si="1"/>
        <v>Nov</v>
      </c>
      <c r="D107">
        <v>1</v>
      </c>
      <c r="E107" s="7">
        <f>IFERROR(VLOOKUP(A107, PriceTable!$A$1:$B$31, 2, FALSE) * D107, 0)</f>
        <v>10000</v>
      </c>
    </row>
    <row r="108" spans="1:5" x14ac:dyDescent="0.3">
      <c r="A108" s="2" t="s">
        <v>34</v>
      </c>
      <c r="B108" s="3">
        <v>45979</v>
      </c>
      <c r="C108" s="3" t="str">
        <f t="shared" si="1"/>
        <v>Nov</v>
      </c>
      <c r="D108">
        <v>1</v>
      </c>
      <c r="E108" s="7">
        <f>IFERROR(VLOOKUP(A108, PriceTable!$A$1:$B$31, 2, FALSE) * D108, 0)</f>
        <v>25000</v>
      </c>
    </row>
    <row r="109" spans="1:5" x14ac:dyDescent="0.3">
      <c r="A109" s="2" t="s">
        <v>2</v>
      </c>
      <c r="B109" s="3">
        <v>45979</v>
      </c>
      <c r="C109" s="3" t="str">
        <f t="shared" si="1"/>
        <v>Nov</v>
      </c>
      <c r="D109">
        <v>1</v>
      </c>
      <c r="E109" s="7">
        <f>IFERROR(VLOOKUP(A109, PriceTable!$A$1:$B$31, 2, FALSE) * D109, 0)</f>
        <v>0</v>
      </c>
    </row>
    <row r="110" spans="1:5" x14ac:dyDescent="0.3">
      <c r="A110" s="2" t="s">
        <v>30</v>
      </c>
      <c r="B110" s="3">
        <v>45980</v>
      </c>
      <c r="C110" s="3" t="str">
        <f t="shared" si="1"/>
        <v>Nov</v>
      </c>
      <c r="D110">
        <v>1</v>
      </c>
      <c r="E110" s="7">
        <f>IFERROR(VLOOKUP(A110, PriceTable!$A$1:$B$31, 2, FALSE) * D110, 0)</f>
        <v>10000</v>
      </c>
    </row>
    <row r="111" spans="1:5" x14ac:dyDescent="0.3">
      <c r="A111" s="2" t="s">
        <v>35</v>
      </c>
      <c r="B111" s="3">
        <v>45980</v>
      </c>
      <c r="C111" s="3" t="str">
        <f t="shared" si="1"/>
        <v>Nov</v>
      </c>
      <c r="D111">
        <v>1</v>
      </c>
      <c r="E111" s="7">
        <f>IFERROR(VLOOKUP(A111, PriceTable!$A$1:$B$31, 2, FALSE) * D111, 0)</f>
        <v>12000</v>
      </c>
    </row>
    <row r="112" spans="1:5" x14ac:dyDescent="0.3">
      <c r="A112" s="2" t="s">
        <v>2</v>
      </c>
      <c r="B112" s="3">
        <v>45981</v>
      </c>
      <c r="C112" s="3" t="str">
        <f t="shared" si="1"/>
        <v>Nov</v>
      </c>
      <c r="D112">
        <v>2</v>
      </c>
      <c r="E112" s="7">
        <f>IFERROR(VLOOKUP(A112, PriceTable!$A$1:$B$31, 2, FALSE) * D112, 0)</f>
        <v>0</v>
      </c>
    </row>
    <row r="113" spans="1:5" ht="28.8" x14ac:dyDescent="0.3">
      <c r="A113" s="2" t="s">
        <v>5</v>
      </c>
      <c r="B113" s="3">
        <v>45981</v>
      </c>
      <c r="C113" s="3" t="str">
        <f t="shared" si="1"/>
        <v>Nov</v>
      </c>
      <c r="D113">
        <v>1</v>
      </c>
      <c r="E113" s="7">
        <f>IFERROR(VLOOKUP(A113, PriceTable!$A$1:$B$31, 2, FALSE) * D113, 0)</f>
        <v>10000</v>
      </c>
    </row>
    <row r="114" spans="1:5" x14ac:dyDescent="0.3">
      <c r="A114" s="2" t="s">
        <v>14</v>
      </c>
      <c r="B114" s="3">
        <v>45981</v>
      </c>
      <c r="C114" s="3" t="str">
        <f t="shared" si="1"/>
        <v>Nov</v>
      </c>
      <c r="D114">
        <v>1</v>
      </c>
      <c r="E114" s="7">
        <f>IFERROR(VLOOKUP(A114, PriceTable!$A$1:$B$31, 2, FALSE) * D114, 0)</f>
        <v>15000</v>
      </c>
    </row>
    <row r="115" spans="1:5" x14ac:dyDescent="0.3">
      <c r="A115" s="2" t="s">
        <v>39</v>
      </c>
      <c r="B115" s="3">
        <v>45981</v>
      </c>
      <c r="C115" s="3" t="str">
        <f t="shared" si="1"/>
        <v>Nov</v>
      </c>
      <c r="D115">
        <v>1</v>
      </c>
      <c r="E115" s="7">
        <f>IFERROR(VLOOKUP(A115, PriceTable!$A$1:$B$31, 2, FALSE) * D115, 0)</f>
        <v>10000</v>
      </c>
    </row>
    <row r="116" spans="1:5" x14ac:dyDescent="0.3">
      <c r="A116" s="2" t="s">
        <v>2</v>
      </c>
      <c r="B116" s="3">
        <v>45981</v>
      </c>
      <c r="C116" s="3" t="str">
        <f t="shared" si="1"/>
        <v>Nov</v>
      </c>
      <c r="D116">
        <v>1</v>
      </c>
      <c r="E116" s="7">
        <f>IFERROR(VLOOKUP(A116, PriceTable!$A$1:$B$31, 2, FALSE) * D116, 0)</f>
        <v>0</v>
      </c>
    </row>
    <row r="117" spans="1:5" x14ac:dyDescent="0.3">
      <c r="A117" s="2" t="s">
        <v>8</v>
      </c>
      <c r="B117" s="3">
        <v>45981</v>
      </c>
      <c r="C117" s="3" t="str">
        <f t="shared" si="1"/>
        <v>Nov</v>
      </c>
      <c r="D117">
        <v>1</v>
      </c>
      <c r="E117" s="7">
        <f>IFERROR(VLOOKUP(A117, PriceTable!$A$1:$B$31, 2, FALSE) * D117, 0)</f>
        <v>20000</v>
      </c>
    </row>
    <row r="118" spans="1:5" x14ac:dyDescent="0.3">
      <c r="A118" s="2" t="s">
        <v>2</v>
      </c>
      <c r="B118" s="3">
        <v>45982</v>
      </c>
      <c r="C118" s="3" t="str">
        <f t="shared" si="1"/>
        <v>Nov</v>
      </c>
      <c r="D118">
        <v>1</v>
      </c>
      <c r="E118" s="7">
        <f>IFERROR(VLOOKUP(A118, PriceTable!$A$1:$B$31, 2, FALSE) * D118, 0)</f>
        <v>0</v>
      </c>
    </row>
    <row r="119" spans="1:5" ht="28.8" x14ac:dyDescent="0.3">
      <c r="A119" s="2" t="s">
        <v>5</v>
      </c>
      <c r="B119" s="3">
        <v>45988</v>
      </c>
      <c r="C119" s="3" t="str">
        <f t="shared" si="1"/>
        <v>Nov</v>
      </c>
      <c r="D119">
        <v>4</v>
      </c>
      <c r="E119" s="7">
        <f>IFERROR(VLOOKUP(A119, PriceTable!$A$1:$B$31, 2, FALSE) * D119, 0)</f>
        <v>40000</v>
      </c>
    </row>
    <row r="120" spans="1:5" x14ac:dyDescent="0.3">
      <c r="A120" s="2" t="s">
        <v>8</v>
      </c>
      <c r="B120" s="3">
        <v>45988</v>
      </c>
      <c r="C120" s="3" t="str">
        <f t="shared" si="1"/>
        <v>Nov</v>
      </c>
      <c r="D120">
        <v>2</v>
      </c>
      <c r="E120" s="7">
        <f>IFERROR(VLOOKUP(A120, PriceTable!$A$1:$B$31, 2, FALSE) * D120, 0)</f>
        <v>40000</v>
      </c>
    </row>
    <row r="121" spans="1:5" x14ac:dyDescent="0.3">
      <c r="A121" s="2" t="s">
        <v>8</v>
      </c>
      <c r="B121" s="3">
        <v>45988</v>
      </c>
      <c r="C121" s="3" t="str">
        <f t="shared" si="1"/>
        <v>Nov</v>
      </c>
      <c r="D121">
        <v>1</v>
      </c>
      <c r="E121" s="7">
        <f>IFERROR(VLOOKUP(A121, PriceTable!$A$1:$B$31, 2, FALSE) * D121, 0)</f>
        <v>20000</v>
      </c>
    </row>
    <row r="122" spans="1:5" x14ac:dyDescent="0.3">
      <c r="A122" s="2" t="s">
        <v>8</v>
      </c>
      <c r="B122" s="3">
        <v>45992</v>
      </c>
      <c r="C122" s="3" t="str">
        <f t="shared" si="1"/>
        <v>Dec</v>
      </c>
      <c r="D122">
        <v>2</v>
      </c>
      <c r="E122" s="7">
        <f>IFERROR(VLOOKUP(A122, PriceTable!$A$1:$B$31, 2, FALSE) * D122, 0)</f>
        <v>40000</v>
      </c>
    </row>
    <row r="123" spans="1:5" x14ac:dyDescent="0.3">
      <c r="A123" s="2" t="s">
        <v>35</v>
      </c>
      <c r="B123" s="3">
        <v>45992</v>
      </c>
      <c r="C123" s="3" t="str">
        <f t="shared" si="1"/>
        <v>Dec</v>
      </c>
      <c r="D123">
        <v>5</v>
      </c>
      <c r="E123" s="7">
        <f>IFERROR(VLOOKUP(A123, PriceTable!$A$1:$B$31, 2, FALSE) * D123, 0)</f>
        <v>60000</v>
      </c>
    </row>
    <row r="124" spans="1:5" x14ac:dyDescent="0.3">
      <c r="A124" s="2" t="s">
        <v>13</v>
      </c>
      <c r="B124" s="3">
        <v>45992</v>
      </c>
      <c r="C124" s="3" t="str">
        <f t="shared" si="1"/>
        <v>Dec</v>
      </c>
      <c r="D124">
        <v>3</v>
      </c>
      <c r="E124" s="7">
        <f>IFERROR(VLOOKUP(A124, PriceTable!$A$1:$B$31, 2, FALSE) * D124, 0)</f>
        <v>75000</v>
      </c>
    </row>
    <row r="125" spans="1:5" x14ac:dyDescent="0.3">
      <c r="A125" s="2" t="s">
        <v>4</v>
      </c>
      <c r="B125" s="3">
        <v>45992</v>
      </c>
      <c r="C125" s="3" t="str">
        <f t="shared" si="1"/>
        <v>Dec</v>
      </c>
      <c r="D125">
        <v>2</v>
      </c>
      <c r="E125" s="7">
        <f>IFERROR(VLOOKUP(A125, PriceTable!$A$1:$B$31, 2, FALSE) * D125, 0)</f>
        <v>50000</v>
      </c>
    </row>
    <row r="126" spans="1:5" x14ac:dyDescent="0.3">
      <c r="A126" s="2" t="s">
        <v>11</v>
      </c>
      <c r="B126" s="3">
        <v>45992</v>
      </c>
      <c r="C126" s="3" t="str">
        <f t="shared" si="1"/>
        <v>Dec</v>
      </c>
      <c r="D126">
        <v>2</v>
      </c>
      <c r="E126" s="7">
        <f>IFERROR(VLOOKUP(A126, PriceTable!$A$1:$B$31, 2, FALSE) * D126, 0)</f>
        <v>20000</v>
      </c>
    </row>
    <row r="127" spans="1:5" x14ac:dyDescent="0.3">
      <c r="A127" s="2" t="s">
        <v>26</v>
      </c>
      <c r="B127" s="3">
        <v>45992</v>
      </c>
      <c r="C127" s="3" t="str">
        <f t="shared" si="1"/>
        <v>Dec</v>
      </c>
      <c r="D127">
        <v>1</v>
      </c>
      <c r="E127" s="7">
        <f>IFERROR(VLOOKUP(A127, PriceTable!$A$1:$B$31, 2, FALSE) * D127, 0)</f>
        <v>25000</v>
      </c>
    </row>
    <row r="128" spans="1:5" x14ac:dyDescent="0.3">
      <c r="A128" s="2" t="s">
        <v>45</v>
      </c>
      <c r="B128" s="3">
        <v>45992</v>
      </c>
      <c r="C128" s="3" t="str">
        <f t="shared" si="1"/>
        <v>Dec</v>
      </c>
      <c r="D128">
        <v>1</v>
      </c>
      <c r="E128" s="7">
        <f>IFERROR(VLOOKUP(A128, PriceTable!$A$1:$B$31, 2, FALSE) * D128, 0)</f>
        <v>20000</v>
      </c>
    </row>
    <row r="129" spans="1:5" x14ac:dyDescent="0.3">
      <c r="A129" s="2" t="s">
        <v>2</v>
      </c>
      <c r="B129" s="3">
        <v>45992</v>
      </c>
      <c r="C129" s="3" t="str">
        <f t="shared" si="1"/>
        <v>Dec</v>
      </c>
      <c r="D129">
        <v>2</v>
      </c>
      <c r="E129" s="7">
        <f>IFERROR(VLOOKUP(A129, PriceTable!$A$1:$B$31, 2, FALSE) * D129, 0)</f>
        <v>0</v>
      </c>
    </row>
    <row r="130" spans="1:5" x14ac:dyDescent="0.3">
      <c r="A130" s="2" t="s">
        <v>8</v>
      </c>
      <c r="B130" s="3">
        <v>45993</v>
      </c>
      <c r="C130" s="3" t="str">
        <f t="shared" si="1"/>
        <v>Dec</v>
      </c>
      <c r="D130">
        <v>1</v>
      </c>
      <c r="E130" s="7">
        <f>IFERROR(VLOOKUP(A130, PriceTable!$A$1:$B$31, 2, FALSE) * D130, 0)</f>
        <v>20000</v>
      </c>
    </row>
    <row r="131" spans="1:5" x14ac:dyDescent="0.3">
      <c r="A131" s="2" t="s">
        <v>35</v>
      </c>
      <c r="B131" s="3">
        <v>45993</v>
      </c>
      <c r="C131" s="3" t="str">
        <f t="shared" si="1"/>
        <v>Dec</v>
      </c>
      <c r="D131">
        <v>4</v>
      </c>
      <c r="E131" s="7">
        <f>IFERROR(VLOOKUP(A131, PriceTable!$A$1:$B$31, 2, FALSE) * D131, 0)</f>
        <v>48000</v>
      </c>
    </row>
    <row r="132" spans="1:5" x14ac:dyDescent="0.3">
      <c r="A132" s="2" t="s">
        <v>3</v>
      </c>
      <c r="B132" s="3">
        <v>45993</v>
      </c>
      <c r="C132" s="3" t="str">
        <f t="shared" si="1"/>
        <v>Dec</v>
      </c>
      <c r="D132">
        <v>1</v>
      </c>
      <c r="E132" s="7">
        <f>IFERROR(VLOOKUP(A132, PriceTable!$A$1:$B$31, 2, FALSE) * D132, 0)</f>
        <v>35000</v>
      </c>
    </row>
    <row r="133" spans="1:5" x14ac:dyDescent="0.3">
      <c r="A133" s="2" t="s">
        <v>2</v>
      </c>
      <c r="B133" s="3">
        <v>45993</v>
      </c>
      <c r="C133" s="3" t="str">
        <f t="shared" si="1"/>
        <v>Dec</v>
      </c>
      <c r="D133">
        <v>3</v>
      </c>
      <c r="E133" s="7">
        <f>IFERROR(VLOOKUP(A133, PriceTable!$A$1:$B$31, 2, FALSE) * D133, 0)</f>
        <v>0</v>
      </c>
    </row>
    <row r="134" spans="1:5" x14ac:dyDescent="0.3">
      <c r="A134" s="2" t="s">
        <v>27</v>
      </c>
      <c r="B134" s="3">
        <v>45993</v>
      </c>
      <c r="C134" s="3" t="str">
        <f t="shared" si="1"/>
        <v>Dec</v>
      </c>
      <c r="D134">
        <v>1</v>
      </c>
      <c r="E134" s="7">
        <f>IFERROR(VLOOKUP(A134, PriceTable!$A$1:$B$31, 2, FALSE) * D134, 0)</f>
        <v>10000</v>
      </c>
    </row>
    <row r="135" spans="1:5" ht="28.8" x14ac:dyDescent="0.3">
      <c r="A135" s="2" t="s">
        <v>5</v>
      </c>
      <c r="B135" s="3">
        <v>45993</v>
      </c>
      <c r="C135" s="3" t="str">
        <f t="shared" si="1"/>
        <v>Dec</v>
      </c>
      <c r="D135">
        <v>1</v>
      </c>
      <c r="E135" s="7">
        <f>IFERROR(VLOOKUP(A135, PriceTable!$A$1:$B$31, 2, FALSE) * D135, 0)</f>
        <v>10000</v>
      </c>
    </row>
    <row r="136" spans="1:5" x14ac:dyDescent="0.3">
      <c r="A136" s="2" t="s">
        <v>30</v>
      </c>
      <c r="B136" s="3">
        <v>45993</v>
      </c>
      <c r="C136" s="3" t="str">
        <f t="shared" si="1"/>
        <v>Dec</v>
      </c>
      <c r="D136">
        <v>1</v>
      </c>
      <c r="E136" s="7">
        <f>IFERROR(VLOOKUP(A136, PriceTable!$A$1:$B$31, 2, FALSE) * D136, 0)</f>
        <v>10000</v>
      </c>
    </row>
    <row r="137" spans="1:5" ht="28.8" x14ac:dyDescent="0.3">
      <c r="A137" s="2" t="s">
        <v>5</v>
      </c>
      <c r="B137" s="3">
        <v>45994</v>
      </c>
      <c r="C137" s="3" t="str">
        <f t="shared" si="1"/>
        <v>Dec</v>
      </c>
      <c r="D137">
        <v>1</v>
      </c>
      <c r="E137" s="7">
        <f>IFERROR(VLOOKUP(A137, PriceTable!$A$1:$B$31, 2, FALSE) * D137, 0)</f>
        <v>10000</v>
      </c>
    </row>
    <row r="138" spans="1:5" x14ac:dyDescent="0.3">
      <c r="A138" s="2" t="s">
        <v>26</v>
      </c>
      <c r="B138" s="3">
        <v>45994</v>
      </c>
      <c r="C138" s="3" t="str">
        <f t="shared" si="1"/>
        <v>Dec</v>
      </c>
      <c r="D138">
        <v>1</v>
      </c>
      <c r="E138" s="7">
        <f>IFERROR(VLOOKUP(A138, PriceTable!$A$1:$B$31, 2, FALSE) * D138, 0)</f>
        <v>25000</v>
      </c>
    </row>
    <row r="139" spans="1:5" x14ac:dyDescent="0.3">
      <c r="A139" s="2" t="s">
        <v>2</v>
      </c>
      <c r="B139" s="3">
        <v>45994</v>
      </c>
      <c r="C139" s="3" t="str">
        <f t="shared" si="1"/>
        <v>Dec</v>
      </c>
      <c r="D139">
        <v>1</v>
      </c>
      <c r="E139" s="7">
        <f>IFERROR(VLOOKUP(A139, PriceTable!$A$1:$B$31, 2, FALSE) * D139, 0)</f>
        <v>0</v>
      </c>
    </row>
    <row r="140" spans="1:5" x14ac:dyDescent="0.3">
      <c r="A140" s="2" t="s">
        <v>30</v>
      </c>
      <c r="B140" s="3">
        <v>45994</v>
      </c>
      <c r="C140" s="3" t="str">
        <f t="shared" si="1"/>
        <v>Dec</v>
      </c>
      <c r="D140">
        <v>1</v>
      </c>
      <c r="E140" s="7">
        <f>IFERROR(VLOOKUP(A140, PriceTable!$A$1:$B$31, 2, FALSE) * D140, 0)</f>
        <v>10000</v>
      </c>
    </row>
    <row r="141" spans="1:5" x14ac:dyDescent="0.3">
      <c r="A141" s="2" t="s">
        <v>46</v>
      </c>
      <c r="B141" s="3">
        <v>45994</v>
      </c>
      <c r="C141" s="3" t="str">
        <f t="shared" si="1"/>
        <v>Dec</v>
      </c>
      <c r="D141">
        <v>1</v>
      </c>
      <c r="E141" s="7">
        <f>IFERROR(VLOOKUP(A141, PriceTable!$A$1:$B$31, 2, FALSE) * D141, 0)</f>
        <v>35000</v>
      </c>
    </row>
    <row r="142" spans="1:5" x14ac:dyDescent="0.3">
      <c r="A142" s="2" t="s">
        <v>2</v>
      </c>
      <c r="B142" s="3">
        <v>45995</v>
      </c>
      <c r="C142" s="3" t="str">
        <f t="shared" si="1"/>
        <v>Dec</v>
      </c>
      <c r="D142">
        <v>1</v>
      </c>
      <c r="E142" s="7">
        <f>IFERROR(VLOOKUP(A142, PriceTable!$A$1:$B$31, 2, FALSE) * D142, 0)</f>
        <v>0</v>
      </c>
    </row>
    <row r="143" spans="1:5" x14ac:dyDescent="0.3">
      <c r="A143" s="2" t="s">
        <v>24</v>
      </c>
      <c r="B143" s="3">
        <v>45996</v>
      </c>
      <c r="C143" s="3" t="str">
        <f t="shared" si="1"/>
        <v>Dec</v>
      </c>
      <c r="D143">
        <v>1</v>
      </c>
      <c r="E143" s="7">
        <f>IFERROR(VLOOKUP(A143, PriceTable!$A$1:$B$31, 2, FALSE) * D143, 0)</f>
        <v>35000</v>
      </c>
    </row>
    <row r="144" spans="1:5" x14ac:dyDescent="0.3">
      <c r="A144" s="2" t="s">
        <v>35</v>
      </c>
      <c r="B144" s="3">
        <v>45996</v>
      </c>
      <c r="C144" s="3" t="str">
        <f t="shared" si="1"/>
        <v>Dec</v>
      </c>
      <c r="D144">
        <v>2</v>
      </c>
      <c r="E144" s="7">
        <f>IFERROR(VLOOKUP(A144, PriceTable!$A$1:$B$31, 2, FALSE) * D144, 0)</f>
        <v>24000</v>
      </c>
    </row>
    <row r="145" spans="1:5" x14ac:dyDescent="0.3">
      <c r="A145" s="2" t="s">
        <v>24</v>
      </c>
      <c r="B145" s="3">
        <v>45996</v>
      </c>
      <c r="C145" s="3" t="str">
        <f t="shared" si="1"/>
        <v>Dec</v>
      </c>
      <c r="D145">
        <v>1</v>
      </c>
      <c r="E145" s="7">
        <f>IFERROR(VLOOKUP(A145, PriceTable!$A$1:$B$31, 2, FALSE) * D145, 0)</f>
        <v>35000</v>
      </c>
    </row>
    <row r="146" spans="1:5" ht="28.8" x14ac:dyDescent="0.3">
      <c r="A146" s="2" t="s">
        <v>5</v>
      </c>
      <c r="B146" s="3">
        <v>45996</v>
      </c>
      <c r="C146" s="3" t="str">
        <f t="shared" si="1"/>
        <v>Dec</v>
      </c>
      <c r="D146">
        <v>3</v>
      </c>
      <c r="E146" s="7">
        <f>IFERROR(VLOOKUP(A146, PriceTable!$A$1:$B$31, 2, FALSE) * D146, 0)</f>
        <v>30000</v>
      </c>
    </row>
    <row r="147" spans="1:5" x14ac:dyDescent="0.3">
      <c r="A147" s="2" t="s">
        <v>46</v>
      </c>
      <c r="B147" s="3">
        <v>45996</v>
      </c>
      <c r="C147" s="3" t="str">
        <f t="shared" si="1"/>
        <v>Dec</v>
      </c>
      <c r="D147">
        <v>4</v>
      </c>
      <c r="E147" s="7">
        <f>IFERROR(VLOOKUP(A147, PriceTable!$A$1:$B$31, 2, FALSE) * D147, 0)</f>
        <v>140000</v>
      </c>
    </row>
    <row r="148" spans="1:5" x14ac:dyDescent="0.3">
      <c r="A148" s="2" t="s">
        <v>9</v>
      </c>
      <c r="B148" s="3">
        <v>45996</v>
      </c>
      <c r="C148" s="3" t="str">
        <f t="shared" si="1"/>
        <v>Dec</v>
      </c>
      <c r="D148">
        <v>2</v>
      </c>
      <c r="E148" s="7">
        <f>IFERROR(VLOOKUP(A148, PriceTable!$A$1:$B$31, 2, FALSE) * D148, 0)</f>
        <v>120000</v>
      </c>
    </row>
    <row r="149" spans="1:5" x14ac:dyDescent="0.3">
      <c r="A149" s="2" t="s">
        <v>2</v>
      </c>
      <c r="B149" s="3">
        <v>45996</v>
      </c>
      <c r="C149" s="3" t="str">
        <f t="shared" si="1"/>
        <v>Dec</v>
      </c>
      <c r="D149">
        <v>2</v>
      </c>
      <c r="E149" s="7">
        <f>IFERROR(VLOOKUP(A149, PriceTable!$A$1:$B$31, 2, FALSE) * D149, 0)</f>
        <v>0</v>
      </c>
    </row>
    <row r="150" spans="1:5" x14ac:dyDescent="0.3">
      <c r="A150" s="2" t="s">
        <v>8</v>
      </c>
      <c r="B150" s="3">
        <v>45996</v>
      </c>
      <c r="C150" s="3" t="str">
        <f t="shared" si="1"/>
        <v>Dec</v>
      </c>
      <c r="D150">
        <v>2</v>
      </c>
      <c r="E150" s="7">
        <f>IFERROR(VLOOKUP(A150, PriceTable!$A$1:$B$31, 2, FALSE) * D150, 0)</f>
        <v>40000</v>
      </c>
    </row>
    <row r="151" spans="1:5" x14ac:dyDescent="0.3">
      <c r="A151" s="2" t="s">
        <v>30</v>
      </c>
      <c r="B151" s="3">
        <v>45999</v>
      </c>
      <c r="C151" s="3" t="str">
        <f t="shared" si="1"/>
        <v>Dec</v>
      </c>
      <c r="D151">
        <v>1</v>
      </c>
      <c r="E151" s="7">
        <f>IFERROR(VLOOKUP(A151, PriceTable!$A$1:$B$31, 2, FALSE) * D151, 0)</f>
        <v>10000</v>
      </c>
    </row>
    <row r="152" spans="1:5" x14ac:dyDescent="0.3">
      <c r="A152" s="2" t="s">
        <v>59</v>
      </c>
      <c r="B152" s="3">
        <v>45999</v>
      </c>
      <c r="C152" s="3" t="str">
        <f t="shared" si="1"/>
        <v>Dec</v>
      </c>
      <c r="D152">
        <v>2</v>
      </c>
      <c r="E152" s="7">
        <f>IFERROR(VLOOKUP(A18, PriceTable!$A$1:$B$45, 2, FALSE) * D18, 0)</f>
        <v>10000</v>
      </c>
    </row>
    <row r="153" spans="1:5" x14ac:dyDescent="0.3">
      <c r="A153" s="2" t="s">
        <v>8</v>
      </c>
      <c r="B153" s="3">
        <v>45999</v>
      </c>
      <c r="C153" s="3" t="str">
        <f t="shared" si="1"/>
        <v>Dec</v>
      </c>
      <c r="D153">
        <v>1</v>
      </c>
      <c r="E153" s="7">
        <f>IFERROR(VLOOKUP(A153, PriceTable!$A$1:$B$31, 2, FALSE) * D153, 0)</f>
        <v>20000</v>
      </c>
    </row>
    <row r="154" spans="1:5" x14ac:dyDescent="0.3">
      <c r="A154" s="2" t="s">
        <v>4</v>
      </c>
      <c r="B154" s="3">
        <v>45999</v>
      </c>
      <c r="C154" s="3" t="str">
        <f t="shared" si="1"/>
        <v>Dec</v>
      </c>
      <c r="D154">
        <v>1</v>
      </c>
      <c r="E154" s="7">
        <f>IFERROR(VLOOKUP(A154, PriceTable!$A$1:$B$31, 2, FALSE) * D154, 0)</f>
        <v>25000</v>
      </c>
    </row>
    <row r="155" spans="1:5" x14ac:dyDescent="0.3">
      <c r="A155" s="2" t="s">
        <v>24</v>
      </c>
      <c r="B155" s="3">
        <v>45999</v>
      </c>
      <c r="C155" s="3" t="str">
        <f t="shared" si="1"/>
        <v>Dec</v>
      </c>
      <c r="D155">
        <v>1</v>
      </c>
      <c r="E155" s="7">
        <f>IFERROR(VLOOKUP(A155, PriceTable!$A$1:$B$31, 2, FALSE) * D155, 0)</f>
        <v>35000</v>
      </c>
    </row>
    <row r="156" spans="1:5" x14ac:dyDescent="0.3">
      <c r="A156" s="2" t="s">
        <v>27</v>
      </c>
      <c r="B156" s="3">
        <v>45999</v>
      </c>
      <c r="C156" s="3" t="str">
        <f t="shared" si="1"/>
        <v>Dec</v>
      </c>
      <c r="D156">
        <v>1</v>
      </c>
      <c r="E156" s="7">
        <f>IFERROR(VLOOKUP(A156, PriceTable!$A$1:$B$31, 2, FALSE) * D156, 0)</f>
        <v>10000</v>
      </c>
    </row>
    <row r="157" spans="1:5" x14ac:dyDescent="0.3">
      <c r="A157" s="2" t="s">
        <v>8</v>
      </c>
      <c r="B157" s="3">
        <v>46001</v>
      </c>
      <c r="C157" s="3" t="str">
        <f t="shared" si="1"/>
        <v>Dec</v>
      </c>
      <c r="D157">
        <v>1</v>
      </c>
      <c r="E157" s="7">
        <f>IFERROR(VLOOKUP(A157, PriceTable!$A$1:$B$31, 2, FALSE) * D157, 0)</f>
        <v>20000</v>
      </c>
    </row>
    <row r="158" spans="1:5" x14ac:dyDescent="0.3">
      <c r="A158" s="2" t="s">
        <v>7</v>
      </c>
      <c r="B158" s="3">
        <v>46001</v>
      </c>
      <c r="C158" s="3" t="str">
        <f t="shared" si="1"/>
        <v>Dec</v>
      </c>
      <c r="D158">
        <v>2</v>
      </c>
      <c r="E158" s="7">
        <f>IFERROR(VLOOKUP(A158, PriceTable!$A$1:$B$31, 2, FALSE) * D158, 0)</f>
        <v>20000</v>
      </c>
    </row>
    <row r="159" spans="1:5" x14ac:dyDescent="0.3">
      <c r="A159" s="2" t="s">
        <v>38</v>
      </c>
      <c r="B159" s="3">
        <v>46001</v>
      </c>
      <c r="C159" s="3" t="str">
        <f t="shared" si="1"/>
        <v>Dec</v>
      </c>
      <c r="D159">
        <v>1</v>
      </c>
      <c r="E159" s="7">
        <f>IFERROR(VLOOKUP(A159, PriceTable!$A$1:$B$31, 2, FALSE) * D159, 0)</f>
        <v>7000</v>
      </c>
    </row>
    <row r="160" spans="1:5" x14ac:dyDescent="0.3">
      <c r="A160" s="2" t="s">
        <v>59</v>
      </c>
      <c r="B160" s="3">
        <v>46001</v>
      </c>
      <c r="C160" s="3" t="str">
        <f t="shared" si="1"/>
        <v>Dec</v>
      </c>
      <c r="D160">
        <v>1</v>
      </c>
      <c r="E160" s="7">
        <f>IFERROR(VLOOKUP(A160, PriceTable!$A$1:$B$45, 2, FALSE) * D160, 0)</f>
        <v>10000</v>
      </c>
    </row>
    <row r="161" spans="1:5" ht="28.8" x14ac:dyDescent="0.3">
      <c r="A161" s="2" t="s">
        <v>5</v>
      </c>
      <c r="B161" s="3">
        <v>46002</v>
      </c>
      <c r="C161" s="3" t="str">
        <f t="shared" si="1"/>
        <v>Dec</v>
      </c>
      <c r="D161">
        <v>1</v>
      </c>
      <c r="E161" s="7">
        <f>IFERROR(VLOOKUP(A161, PriceTable!$A$1:$B$31, 2, FALSE) * D161, 0)</f>
        <v>10000</v>
      </c>
    </row>
    <row r="162" spans="1:5" x14ac:dyDescent="0.3">
      <c r="A162" s="2" t="s">
        <v>24</v>
      </c>
      <c r="B162" s="3">
        <v>46003</v>
      </c>
      <c r="C162" s="3" t="str">
        <f t="shared" si="1"/>
        <v>Dec</v>
      </c>
      <c r="D162">
        <v>1</v>
      </c>
      <c r="E162" s="7">
        <f>IFERROR(VLOOKUP(A162, PriceTable!$A$1:$B$31, 2, FALSE) * D162, 0)</f>
        <v>35000</v>
      </c>
    </row>
    <row r="163" spans="1:5" ht="28.8" x14ac:dyDescent="0.3">
      <c r="A163" s="2" t="s">
        <v>5</v>
      </c>
      <c r="B163" s="3">
        <v>46003</v>
      </c>
      <c r="C163" s="3" t="str">
        <f t="shared" ref="C163:C164" si="2">TEXT(B163, "mmm")</f>
        <v>Dec</v>
      </c>
      <c r="D163">
        <v>1</v>
      </c>
      <c r="E163" s="7">
        <f>IFERROR(VLOOKUP(A163, PriceTable!$A$1:$B$31, 2, FALSE) * D163, 0)</f>
        <v>10000</v>
      </c>
    </row>
    <row r="164" spans="1:5" x14ac:dyDescent="0.3">
      <c r="A164" s="2" t="s">
        <v>8</v>
      </c>
      <c r="B164" s="3">
        <v>46003</v>
      </c>
      <c r="C164" s="3" t="str">
        <f t="shared" si="2"/>
        <v>Dec</v>
      </c>
      <c r="D164">
        <v>1</v>
      </c>
      <c r="E164" s="7">
        <f>IFERROR(VLOOKUP(A164, PriceTable!$A$1:$B$31, 2, FALSE) * D164, 0)</f>
        <v>20000</v>
      </c>
    </row>
    <row r="165" spans="1:5" x14ac:dyDescent="0.3">
      <c r="A165" s="2" t="s">
        <v>9</v>
      </c>
      <c r="B165" s="3">
        <v>46003</v>
      </c>
      <c r="C165" s="3" t="str">
        <f>TEXT(B165, "mmm")</f>
        <v>Dec</v>
      </c>
      <c r="D165">
        <v>1</v>
      </c>
      <c r="E165" s="7">
        <f>IFERROR(VLOOKUP(A165, PriceTable!$A$1:$B$31, 2, FALSE) * D165, 0)</f>
        <v>60000</v>
      </c>
    </row>
    <row r="166" spans="1:5" x14ac:dyDescent="0.3">
      <c r="A166" s="2" t="s">
        <v>8</v>
      </c>
      <c r="B166" s="3">
        <v>46004</v>
      </c>
      <c r="C166" s="3" t="str">
        <f t="shared" ref="C166:C227" si="3">TEXT(B166, "mmm")</f>
        <v>Dec</v>
      </c>
      <c r="D166">
        <v>1</v>
      </c>
      <c r="E166" s="7">
        <f>IFERROR(VLOOKUP(A166, PriceTable!$A$1:$B$31, 2, FALSE) * D166, 0)</f>
        <v>20000</v>
      </c>
    </row>
    <row r="167" spans="1:5" x14ac:dyDescent="0.3">
      <c r="A167" s="2" t="s">
        <v>24</v>
      </c>
      <c r="B167" s="3">
        <v>46004</v>
      </c>
      <c r="C167" s="3" t="str">
        <f t="shared" si="3"/>
        <v>Dec</v>
      </c>
      <c r="D167">
        <v>1</v>
      </c>
      <c r="E167" s="7">
        <f>IFERROR(VLOOKUP(A167, PriceTable!$A$1:$B$31, 2, FALSE) * D167, 0)</f>
        <v>35000</v>
      </c>
    </row>
    <row r="168" spans="1:5" ht="28.8" x14ac:dyDescent="0.3">
      <c r="A168" s="2" t="s">
        <v>5</v>
      </c>
      <c r="B168" s="3">
        <v>46006</v>
      </c>
      <c r="C168" s="3" t="str">
        <f t="shared" si="3"/>
        <v>Dec</v>
      </c>
      <c r="D168">
        <v>3</v>
      </c>
      <c r="E168" s="7">
        <f>IFERROR(VLOOKUP(A168, PriceTable!$A$1:$B$31, 2, FALSE) * D168, 0)</f>
        <v>30000</v>
      </c>
    </row>
    <row r="169" spans="1:5" x14ac:dyDescent="0.3">
      <c r="A169" s="2" t="s">
        <v>26</v>
      </c>
      <c r="B169" s="3">
        <v>46006</v>
      </c>
      <c r="C169" s="3" t="str">
        <f t="shared" si="3"/>
        <v>Dec</v>
      </c>
      <c r="D169">
        <v>1</v>
      </c>
      <c r="E169" s="7">
        <f>IFERROR(VLOOKUP(A169, PriceTable!$A$1:$B$31, 2, FALSE) * D169, 0)</f>
        <v>25000</v>
      </c>
    </row>
    <row r="170" spans="1:5" x14ac:dyDescent="0.3">
      <c r="A170" s="2" t="s">
        <v>2</v>
      </c>
      <c r="B170" s="3">
        <v>46006</v>
      </c>
      <c r="C170" s="3" t="str">
        <f t="shared" si="3"/>
        <v>Dec</v>
      </c>
      <c r="D170">
        <v>2</v>
      </c>
      <c r="E170" s="7">
        <f>IFERROR(VLOOKUP(A170, PriceTable!$A$1:$B$31, 2, FALSE) * D170, 0)</f>
        <v>0</v>
      </c>
    </row>
    <row r="171" spans="1:5" x14ac:dyDescent="0.3">
      <c r="A171" s="2" t="s">
        <v>24</v>
      </c>
      <c r="B171" s="3">
        <v>46006</v>
      </c>
      <c r="C171" s="3" t="str">
        <f t="shared" si="3"/>
        <v>Dec</v>
      </c>
      <c r="D171">
        <v>1</v>
      </c>
      <c r="E171" s="7">
        <f>IFERROR(VLOOKUP(A171, PriceTable!$A$1:$B$31, 2, FALSE) * D171, 0)</f>
        <v>35000</v>
      </c>
    </row>
    <row r="172" spans="1:5" x14ac:dyDescent="0.3">
      <c r="A172" s="2" t="s">
        <v>27</v>
      </c>
      <c r="B172" s="3">
        <v>46006</v>
      </c>
      <c r="C172" s="3" t="str">
        <f t="shared" si="3"/>
        <v>Dec</v>
      </c>
      <c r="D172">
        <v>2</v>
      </c>
      <c r="E172" s="7">
        <f>IFERROR(VLOOKUP(A172, PriceTable!$A$1:$B$31, 2, FALSE) * D172, 0)</f>
        <v>20000</v>
      </c>
    </row>
    <row r="173" spans="1:5" x14ac:dyDescent="0.3">
      <c r="A173" s="2" t="s">
        <v>10</v>
      </c>
      <c r="B173" s="3">
        <v>46006</v>
      </c>
      <c r="C173" s="3" t="str">
        <f t="shared" si="3"/>
        <v>Dec</v>
      </c>
      <c r="D173">
        <v>1</v>
      </c>
      <c r="E173" s="7">
        <f>IFERROR(VLOOKUP(A173, PriceTable!$A$1:$B$31, 2, FALSE) * D173, 0)</f>
        <v>35000</v>
      </c>
    </row>
    <row r="174" spans="1:5" x14ac:dyDescent="0.3">
      <c r="A174" s="2" t="s">
        <v>35</v>
      </c>
      <c r="B174" s="3">
        <v>46006</v>
      </c>
      <c r="C174" s="3" t="str">
        <f t="shared" si="3"/>
        <v>Dec</v>
      </c>
      <c r="D174">
        <v>1</v>
      </c>
      <c r="E174" s="7">
        <f>IFERROR(VLOOKUP(A174, PriceTable!$A$1:$B$31, 2, FALSE) * D174, 0)</f>
        <v>12000</v>
      </c>
    </row>
    <row r="175" spans="1:5" x14ac:dyDescent="0.3">
      <c r="A175" s="2" t="s">
        <v>34</v>
      </c>
      <c r="B175" s="3">
        <v>46007</v>
      </c>
      <c r="C175" s="3" t="str">
        <f t="shared" si="3"/>
        <v>Dec</v>
      </c>
      <c r="D175">
        <v>1</v>
      </c>
      <c r="E175" s="7">
        <f>IFERROR(VLOOKUP(A175, PriceTable!$A$1:$B$31, 2, FALSE) * D175, 0)</f>
        <v>25000</v>
      </c>
    </row>
    <row r="176" spans="1:5" x14ac:dyDescent="0.3">
      <c r="A176" s="2" t="s">
        <v>9</v>
      </c>
      <c r="B176" s="3">
        <v>46007</v>
      </c>
      <c r="C176" s="3" t="str">
        <f t="shared" si="3"/>
        <v>Dec</v>
      </c>
      <c r="D176">
        <v>1</v>
      </c>
      <c r="E176" s="7">
        <f>IFERROR(VLOOKUP(A176, PriceTable!$A$1:$B$31, 2, FALSE) * D176, 0)</f>
        <v>60000</v>
      </c>
    </row>
    <row r="177" spans="1:5" x14ac:dyDescent="0.3">
      <c r="A177" s="2" t="s">
        <v>3</v>
      </c>
      <c r="B177" s="3">
        <v>46007</v>
      </c>
      <c r="C177" s="3" t="str">
        <f t="shared" si="3"/>
        <v>Dec</v>
      </c>
      <c r="D177">
        <v>1</v>
      </c>
      <c r="E177" s="7">
        <f>IFERROR(VLOOKUP(A177, PriceTable!$A$1:$B$31, 2, FALSE) * D177, 0)</f>
        <v>35000</v>
      </c>
    </row>
    <row r="178" spans="1:5" x14ac:dyDescent="0.3">
      <c r="A178" s="2" t="s">
        <v>8</v>
      </c>
      <c r="B178" s="3">
        <v>46007</v>
      </c>
      <c r="C178" s="3" t="str">
        <f t="shared" si="3"/>
        <v>Dec</v>
      </c>
      <c r="D178">
        <v>1</v>
      </c>
      <c r="E178" s="7">
        <f>IFERROR(VLOOKUP(A178, PriceTable!$A$1:$B$31, 2, FALSE) * D178, 0)</f>
        <v>20000</v>
      </c>
    </row>
    <row r="179" spans="1:5" x14ac:dyDescent="0.3">
      <c r="A179" s="2" t="s">
        <v>33</v>
      </c>
      <c r="B179" s="3">
        <v>46008</v>
      </c>
      <c r="C179" s="3" t="str">
        <f t="shared" si="3"/>
        <v>Dec</v>
      </c>
      <c r="D179">
        <v>1</v>
      </c>
      <c r="E179" s="7">
        <f>IFERROR(VLOOKUP(A179, PriceTable!$A$1:$B$31, 2, FALSE) * D179, 0)</f>
        <v>55000</v>
      </c>
    </row>
    <row r="180" spans="1:5" x14ac:dyDescent="0.3">
      <c r="A180" s="2" t="s">
        <v>31</v>
      </c>
      <c r="B180" s="3">
        <v>46008</v>
      </c>
      <c r="C180" s="3" t="str">
        <f t="shared" si="3"/>
        <v>Dec</v>
      </c>
      <c r="D180">
        <v>1</v>
      </c>
      <c r="E180" s="7">
        <f>IFERROR(VLOOKUP(A180, PriceTable!$A$1:$B$31, 2, FALSE) * D180, 0)</f>
        <v>20000</v>
      </c>
    </row>
    <row r="181" spans="1:5" x14ac:dyDescent="0.3">
      <c r="A181" s="2" t="s">
        <v>35</v>
      </c>
      <c r="B181" s="3">
        <v>46008</v>
      </c>
      <c r="C181" s="3" t="str">
        <f t="shared" si="3"/>
        <v>Dec</v>
      </c>
      <c r="D181">
        <v>1</v>
      </c>
      <c r="E181" s="7">
        <f>IFERROR(VLOOKUP(A181, PriceTable!$A$1:$B$31, 2, FALSE) * D181, 0)</f>
        <v>12000</v>
      </c>
    </row>
    <row r="182" spans="1:5" x14ac:dyDescent="0.3">
      <c r="A182" s="2" t="s">
        <v>8</v>
      </c>
      <c r="B182" s="3">
        <v>46009</v>
      </c>
      <c r="C182" s="3" t="str">
        <f t="shared" si="3"/>
        <v>Dec</v>
      </c>
      <c r="D182">
        <v>1</v>
      </c>
      <c r="E182" s="7">
        <f>IFERROR(VLOOKUP(A182, PriceTable!$A$1:$B$31, 2, FALSE) * D182, 0)</f>
        <v>20000</v>
      </c>
    </row>
    <row r="183" spans="1:5" x14ac:dyDescent="0.3">
      <c r="A183" s="2" t="s">
        <v>59</v>
      </c>
      <c r="B183" s="3">
        <v>46009</v>
      </c>
      <c r="C183" s="3" t="str">
        <f t="shared" si="3"/>
        <v>Dec</v>
      </c>
      <c r="D183">
        <v>1</v>
      </c>
      <c r="E183" s="7">
        <f>IFERROR(VLOOKUP(A183, PriceTable!$A$1:$B$45, 2, FALSE) * D183, 0)</f>
        <v>10000</v>
      </c>
    </row>
    <row r="184" spans="1:5" ht="28.8" x14ac:dyDescent="0.3">
      <c r="A184" s="2" t="s">
        <v>5</v>
      </c>
      <c r="B184" s="3">
        <v>46009</v>
      </c>
      <c r="C184" s="3" t="str">
        <f t="shared" si="3"/>
        <v>Dec</v>
      </c>
      <c r="D184">
        <v>1</v>
      </c>
      <c r="E184" s="7">
        <f>IFERROR(VLOOKUP(A184, PriceTable!$A$1:$B$31, 2, FALSE) * D184, 0)</f>
        <v>10000</v>
      </c>
    </row>
    <row r="185" spans="1:5" x14ac:dyDescent="0.3">
      <c r="A185" t="s">
        <v>5</v>
      </c>
      <c r="B185" s="3">
        <v>46010</v>
      </c>
      <c r="C185" s="3" t="str">
        <f t="shared" si="3"/>
        <v>Dec</v>
      </c>
      <c r="D185">
        <v>1</v>
      </c>
      <c r="E185" s="7">
        <f>IFERROR(VLOOKUP(A185, PriceTable!$A$1:$B$31, 2, FALSE) * D185, 0)</f>
        <v>10000</v>
      </c>
    </row>
    <row r="186" spans="1:5" x14ac:dyDescent="0.3">
      <c r="A186" s="2" t="s">
        <v>30</v>
      </c>
      <c r="B186" s="3">
        <v>46010</v>
      </c>
      <c r="C186" s="3" t="str">
        <f t="shared" si="3"/>
        <v>Dec</v>
      </c>
      <c r="D186">
        <v>1</v>
      </c>
      <c r="E186" s="7">
        <f>IFERROR(VLOOKUP(A186, PriceTable!$A$1:$B$31, 2, FALSE) * D186, 0)</f>
        <v>10000</v>
      </c>
    </row>
    <row r="187" spans="1:5" x14ac:dyDescent="0.3">
      <c r="A187" s="2" t="s">
        <v>59</v>
      </c>
      <c r="B187" s="3">
        <v>46010</v>
      </c>
      <c r="C187" s="3" t="str">
        <f t="shared" si="3"/>
        <v>Dec</v>
      </c>
      <c r="D187">
        <v>1</v>
      </c>
      <c r="E187" s="7">
        <f>IFERROR(VLOOKUP(A187, PriceTable!$A$1:$B$45, 2, FALSE) * D187, 0)</f>
        <v>10000</v>
      </c>
    </row>
    <row r="188" spans="1:5" x14ac:dyDescent="0.3">
      <c r="A188" s="2" t="s">
        <v>33</v>
      </c>
      <c r="B188" s="3">
        <v>46010</v>
      </c>
      <c r="C188" s="3" t="str">
        <f t="shared" si="3"/>
        <v>Dec</v>
      </c>
      <c r="D188">
        <v>3</v>
      </c>
      <c r="E188" s="7">
        <f>IFERROR(VLOOKUP(A188, PriceTable!$A$1:$B$31, 2, FALSE) * D188, 0)</f>
        <v>165000</v>
      </c>
    </row>
    <row r="189" spans="1:5" x14ac:dyDescent="0.3">
      <c r="A189" s="2" t="s">
        <v>47</v>
      </c>
      <c r="B189" s="3">
        <v>46010</v>
      </c>
      <c r="C189" s="3" t="str">
        <f t="shared" si="3"/>
        <v>Dec</v>
      </c>
      <c r="D189">
        <v>1</v>
      </c>
      <c r="E189" s="7">
        <f>IFERROR(VLOOKUP(A189, PriceTable!$A$1:$B$31, 2, FALSE) * D189, 0)</f>
        <v>20000</v>
      </c>
    </row>
    <row r="190" spans="1:5" x14ac:dyDescent="0.3">
      <c r="A190" s="2" t="s">
        <v>3</v>
      </c>
      <c r="B190" s="3">
        <v>46010</v>
      </c>
      <c r="C190" s="3" t="str">
        <f t="shared" si="3"/>
        <v>Dec</v>
      </c>
      <c r="D190">
        <v>1</v>
      </c>
      <c r="E190" s="7">
        <f>IFERROR(VLOOKUP(A190, PriceTable!$A$1:$B$31, 2, FALSE) * D190, 0)</f>
        <v>35000</v>
      </c>
    </row>
    <row r="191" spans="1:5" x14ac:dyDescent="0.3">
      <c r="A191" s="2" t="s">
        <v>31</v>
      </c>
      <c r="B191" s="3">
        <v>46010</v>
      </c>
      <c r="C191" s="3" t="str">
        <f t="shared" si="3"/>
        <v>Dec</v>
      </c>
      <c r="D191">
        <v>1</v>
      </c>
      <c r="E191" s="7">
        <f>IFERROR(VLOOKUP(A191, PriceTable!$A$1:$B$31, 2, FALSE) * D191, 0)</f>
        <v>20000</v>
      </c>
    </row>
    <row r="192" spans="1:5" x14ac:dyDescent="0.3">
      <c r="A192" s="2" t="s">
        <v>24</v>
      </c>
      <c r="B192" s="3">
        <v>46010</v>
      </c>
      <c r="C192" s="3" t="str">
        <f t="shared" si="3"/>
        <v>Dec</v>
      </c>
      <c r="D192">
        <v>1</v>
      </c>
      <c r="E192" s="7">
        <f>IFERROR(VLOOKUP(A192, PriceTable!$A$1:$B$31, 2, FALSE) * D192, 0)</f>
        <v>35000</v>
      </c>
    </row>
    <row r="193" spans="1:5" x14ac:dyDescent="0.3">
      <c r="A193" s="2" t="s">
        <v>8</v>
      </c>
      <c r="B193" s="3">
        <v>46010</v>
      </c>
      <c r="C193" s="3" t="str">
        <f t="shared" si="3"/>
        <v>Dec</v>
      </c>
      <c r="D193">
        <v>1</v>
      </c>
      <c r="E193" s="7">
        <f>IFERROR(VLOOKUP(A193, PriceTable!$A$1:$B$31, 2, FALSE) * D193, 0)</f>
        <v>20000</v>
      </c>
    </row>
    <row r="194" spans="1:5" x14ac:dyDescent="0.3">
      <c r="A194" s="2" t="s">
        <v>14</v>
      </c>
      <c r="B194" s="3">
        <v>46011</v>
      </c>
      <c r="C194" s="3" t="str">
        <f t="shared" si="3"/>
        <v>Dec</v>
      </c>
      <c r="D194">
        <v>1</v>
      </c>
      <c r="E194" s="7">
        <f>IFERROR(VLOOKUP(A194, PriceTable!$A$1:$B$31, 2, FALSE) * D194, 0)</f>
        <v>15000</v>
      </c>
    </row>
    <row r="195" spans="1:5" ht="28.8" x14ac:dyDescent="0.3">
      <c r="A195" s="2" t="s">
        <v>5</v>
      </c>
      <c r="B195" s="3">
        <v>46011</v>
      </c>
      <c r="C195" s="3" t="str">
        <f t="shared" si="3"/>
        <v>Dec</v>
      </c>
      <c r="D195">
        <v>1</v>
      </c>
      <c r="E195" s="7">
        <f>IFERROR(VLOOKUP(A195, PriceTable!$A$1:$B$31, 2, FALSE) * D195, 0)</f>
        <v>10000</v>
      </c>
    </row>
    <row r="196" spans="1:5" x14ac:dyDescent="0.3">
      <c r="A196" s="2" t="s">
        <v>3</v>
      </c>
      <c r="B196" s="3">
        <v>46011</v>
      </c>
      <c r="C196" s="3" t="str">
        <f t="shared" si="3"/>
        <v>Dec</v>
      </c>
      <c r="D196">
        <v>1</v>
      </c>
      <c r="E196" s="7">
        <f>IFERROR(VLOOKUP(A196, PriceTable!$A$1:$B$31, 2, FALSE) * D196, 0)</f>
        <v>35000</v>
      </c>
    </row>
    <row r="197" spans="1:5" x14ac:dyDescent="0.3">
      <c r="A197" s="2" t="s">
        <v>30</v>
      </c>
      <c r="B197" s="3">
        <v>46011</v>
      </c>
      <c r="C197" s="3" t="str">
        <f t="shared" si="3"/>
        <v>Dec</v>
      </c>
      <c r="D197">
        <v>1</v>
      </c>
      <c r="E197" s="7">
        <f>IFERROR(VLOOKUP(A197, PriceTable!$A$1:$B$31, 2, FALSE) * D197, 0)</f>
        <v>10000</v>
      </c>
    </row>
    <row r="198" spans="1:5" x14ac:dyDescent="0.3">
      <c r="A198" s="2" t="s">
        <v>13</v>
      </c>
      <c r="B198" s="3">
        <v>46011</v>
      </c>
      <c r="C198" s="3" t="str">
        <f t="shared" si="3"/>
        <v>Dec</v>
      </c>
      <c r="D198">
        <v>1</v>
      </c>
      <c r="E198" s="7">
        <f>IFERROR(VLOOKUP(A198, PriceTable!$A$1:$B$31, 2, FALSE) * D198, 0)</f>
        <v>25000</v>
      </c>
    </row>
    <row r="199" spans="1:5" x14ac:dyDescent="0.3">
      <c r="A199" s="2" t="s">
        <v>24</v>
      </c>
      <c r="B199" s="3">
        <v>46013</v>
      </c>
      <c r="C199" s="3" t="str">
        <f t="shared" si="3"/>
        <v>Dec</v>
      </c>
      <c r="D199">
        <v>3</v>
      </c>
      <c r="E199" s="7">
        <f>IFERROR(VLOOKUP(A199, PriceTable!$A$1:$B$31, 2, FALSE) * D199, 0)</f>
        <v>105000</v>
      </c>
    </row>
    <row r="200" spans="1:5" x14ac:dyDescent="0.3">
      <c r="A200" s="2" t="s">
        <v>24</v>
      </c>
      <c r="B200" s="3">
        <v>46014</v>
      </c>
      <c r="C200" s="3" t="str">
        <f t="shared" si="3"/>
        <v>Dec</v>
      </c>
      <c r="D200">
        <v>1</v>
      </c>
      <c r="E200" s="7">
        <f>IFERROR(VLOOKUP(A200, PriceTable!$A$1:$B$31, 2, FALSE) * D200, 0)</f>
        <v>35000</v>
      </c>
    </row>
    <row r="201" spans="1:5" x14ac:dyDescent="0.3">
      <c r="A201" s="2" t="s">
        <v>10</v>
      </c>
      <c r="B201" s="3">
        <v>46014</v>
      </c>
      <c r="C201" s="3" t="str">
        <f t="shared" si="3"/>
        <v>Dec</v>
      </c>
      <c r="D201">
        <v>1</v>
      </c>
      <c r="E201" s="7">
        <f>IFERROR(VLOOKUP(A201, PriceTable!$A$1:$B$31, 2, FALSE) * D201, 0)</f>
        <v>35000</v>
      </c>
    </row>
    <row r="202" spans="1:5" x14ac:dyDescent="0.3">
      <c r="A202" s="2" t="s">
        <v>35</v>
      </c>
      <c r="B202" s="3">
        <v>46014</v>
      </c>
      <c r="C202" s="3" t="str">
        <f t="shared" si="3"/>
        <v>Dec</v>
      </c>
      <c r="D202">
        <v>2</v>
      </c>
      <c r="E202" s="7">
        <f>IFERROR(VLOOKUP(A202, PriceTable!$A$1:$B$31, 2, FALSE) * D202, 0)</f>
        <v>24000</v>
      </c>
    </row>
    <row r="203" spans="1:5" x14ac:dyDescent="0.3">
      <c r="A203" s="2" t="s">
        <v>8</v>
      </c>
      <c r="B203" s="3">
        <v>46014</v>
      </c>
      <c r="C203" s="3" t="str">
        <f t="shared" si="3"/>
        <v>Dec</v>
      </c>
      <c r="D203">
        <v>1</v>
      </c>
      <c r="E203" s="7">
        <f>IFERROR(VLOOKUP(A203, PriceTable!$A$1:$B$31, 2, FALSE) * D203, 0)</f>
        <v>20000</v>
      </c>
    </row>
    <row r="204" spans="1:5" ht="28.8" x14ac:dyDescent="0.3">
      <c r="A204" s="2" t="s">
        <v>5</v>
      </c>
      <c r="B204" s="3">
        <v>46014</v>
      </c>
      <c r="C204" s="3" t="str">
        <f t="shared" si="3"/>
        <v>Dec</v>
      </c>
      <c r="D204">
        <v>1</v>
      </c>
      <c r="E204" s="7">
        <f>IFERROR(VLOOKUP(A204, PriceTable!$A$1:$B$31, 2, FALSE) * D204, 0)</f>
        <v>10000</v>
      </c>
    </row>
    <row r="205" spans="1:5" x14ac:dyDescent="0.3">
      <c r="A205" s="2" t="s">
        <v>24</v>
      </c>
      <c r="B205" s="3">
        <v>46015</v>
      </c>
      <c r="C205" s="3" t="str">
        <f t="shared" si="3"/>
        <v>Dec</v>
      </c>
      <c r="D205">
        <v>4</v>
      </c>
      <c r="E205" s="7">
        <f>IFERROR(VLOOKUP(A205, PriceTable!$A$1:$B$31, 2, FALSE) * D205, 0)</f>
        <v>140000</v>
      </c>
    </row>
    <row r="206" spans="1:5" x14ac:dyDescent="0.3">
      <c r="A206" s="2" t="s">
        <v>13</v>
      </c>
      <c r="B206" s="3">
        <v>46015</v>
      </c>
      <c r="C206" s="3" t="str">
        <f t="shared" si="3"/>
        <v>Dec</v>
      </c>
      <c r="D206">
        <v>2</v>
      </c>
      <c r="E206" s="7">
        <f>IFERROR(VLOOKUP(A206, PriceTable!$A$1:$B$31, 2, FALSE) * D206, 0)</f>
        <v>50000</v>
      </c>
    </row>
    <row r="207" spans="1:5" x14ac:dyDescent="0.3">
      <c r="A207" s="2" t="s">
        <v>11</v>
      </c>
      <c r="B207" s="3">
        <v>46015</v>
      </c>
      <c r="C207" s="3" t="str">
        <f t="shared" si="3"/>
        <v>Dec</v>
      </c>
      <c r="D207">
        <v>1</v>
      </c>
      <c r="E207" s="7">
        <f>IFERROR(VLOOKUP(A207, PriceTable!$A$1:$B$31, 2, FALSE) * D207, 0)</f>
        <v>10000</v>
      </c>
    </row>
    <row r="208" spans="1:5" x14ac:dyDescent="0.3">
      <c r="A208" s="2" t="s">
        <v>59</v>
      </c>
      <c r="B208" s="3">
        <v>46015</v>
      </c>
      <c r="C208" s="3" t="str">
        <f t="shared" si="3"/>
        <v>Dec</v>
      </c>
      <c r="D208">
        <v>1</v>
      </c>
      <c r="E208" s="7">
        <f>IFERROR(VLOOKUP(A208, PriceTable!$A$1:$B$45, 2, FALSE) * D208, 0)</f>
        <v>10000</v>
      </c>
    </row>
    <row r="209" spans="1:5" x14ac:dyDescent="0.3">
      <c r="A209" s="2" t="s">
        <v>48</v>
      </c>
      <c r="B209" s="3">
        <v>46015</v>
      </c>
      <c r="C209" s="3" t="str">
        <f t="shared" si="3"/>
        <v>Dec</v>
      </c>
      <c r="D209">
        <v>1</v>
      </c>
      <c r="E209" s="7">
        <f>IFERROR(VLOOKUP(A209, PriceTable!$A$1:$B$31, 2, FALSE) * D209, 0)</f>
        <v>5000</v>
      </c>
    </row>
    <row r="210" spans="1:5" x14ac:dyDescent="0.3">
      <c r="A210" s="2" t="s">
        <v>46</v>
      </c>
      <c r="B210" s="3">
        <v>46018</v>
      </c>
      <c r="C210" s="3" t="str">
        <f t="shared" si="3"/>
        <v>Dec</v>
      </c>
      <c r="D210">
        <v>1</v>
      </c>
      <c r="E210" s="7">
        <f>IFERROR(VLOOKUP(A210, PriceTable!$A$1:$B$31, 2, FALSE) * D210, 0)</f>
        <v>35000</v>
      </c>
    </row>
    <row r="211" spans="1:5" x14ac:dyDescent="0.3">
      <c r="A211" s="2" t="s">
        <v>13</v>
      </c>
      <c r="B211" s="3">
        <v>46018</v>
      </c>
      <c r="C211" s="3" t="str">
        <f t="shared" si="3"/>
        <v>Dec</v>
      </c>
      <c r="D211">
        <v>1</v>
      </c>
      <c r="E211" s="7">
        <f>IFERROR(VLOOKUP(A211, PriceTable!$A$1:$B$31, 2, FALSE) * D211, 0)</f>
        <v>25000</v>
      </c>
    </row>
    <row r="212" spans="1:5" x14ac:dyDescent="0.3">
      <c r="A212" s="2" t="s">
        <v>34</v>
      </c>
      <c r="B212" s="3">
        <v>46018</v>
      </c>
      <c r="C212" s="3" t="str">
        <f t="shared" si="3"/>
        <v>Dec</v>
      </c>
      <c r="D212">
        <v>1</v>
      </c>
      <c r="E212" s="7">
        <f>IFERROR(VLOOKUP(A212, PriceTable!$A$1:$B$31, 2, FALSE) * D212, 0)</f>
        <v>25000</v>
      </c>
    </row>
    <row r="213" spans="1:5" x14ac:dyDescent="0.3">
      <c r="A213" s="2" t="s">
        <v>8</v>
      </c>
      <c r="B213" s="3">
        <v>46018</v>
      </c>
      <c r="C213" s="3" t="str">
        <f t="shared" si="3"/>
        <v>Dec</v>
      </c>
      <c r="D213">
        <v>1</v>
      </c>
      <c r="E213" s="7">
        <f>IFERROR(VLOOKUP(A213, PriceTable!$A$1:$B$31, 2, FALSE) * D213, 0)</f>
        <v>20000</v>
      </c>
    </row>
    <row r="214" spans="1:5" ht="28.8" x14ac:dyDescent="0.3">
      <c r="A214" s="2" t="s">
        <v>5</v>
      </c>
      <c r="B214" s="3">
        <v>46019</v>
      </c>
      <c r="C214" s="3" t="str">
        <f t="shared" si="3"/>
        <v>Dec</v>
      </c>
      <c r="D214">
        <v>5</v>
      </c>
      <c r="E214" s="7">
        <f>IFERROR(VLOOKUP(A214, PriceTable!$A$1:$B$31, 2, FALSE) * D214, 0)</f>
        <v>50000</v>
      </c>
    </row>
    <row r="215" spans="1:5" x14ac:dyDescent="0.3">
      <c r="A215" s="2" t="s">
        <v>16</v>
      </c>
      <c r="B215" s="3">
        <v>46019</v>
      </c>
      <c r="C215" s="3" t="str">
        <f t="shared" si="3"/>
        <v>Dec</v>
      </c>
      <c r="D215">
        <v>1</v>
      </c>
      <c r="E215" s="7">
        <f>IFERROR(VLOOKUP(A215, PriceTable!$A$1:$B$31, 2, FALSE) * D215, 0)</f>
        <v>20000</v>
      </c>
    </row>
    <row r="216" spans="1:5" x14ac:dyDescent="0.3">
      <c r="A216" s="2" t="s">
        <v>17</v>
      </c>
      <c r="B216" s="3">
        <v>46019</v>
      </c>
      <c r="C216" s="3" t="str">
        <f t="shared" si="3"/>
        <v>Dec</v>
      </c>
      <c r="D216">
        <v>1</v>
      </c>
      <c r="E216" s="7">
        <f>IFERROR(VLOOKUP(A216, PriceTable!$A$1:$B$31, 2, FALSE) * D216, 0)</f>
        <v>17000</v>
      </c>
    </row>
    <row r="217" spans="1:5" x14ac:dyDescent="0.3">
      <c r="A217" s="2" t="s">
        <v>59</v>
      </c>
      <c r="B217" s="3">
        <v>46019</v>
      </c>
      <c r="C217" s="3" t="str">
        <f t="shared" si="3"/>
        <v>Dec</v>
      </c>
      <c r="D217">
        <v>1</v>
      </c>
      <c r="E217" s="7">
        <f>IFERROR(VLOOKUP(A217, PriceTable!$A$1:$B$45, 2, FALSE) * D217, 0)</f>
        <v>10000</v>
      </c>
    </row>
    <row r="218" spans="1:5" x14ac:dyDescent="0.3">
      <c r="A218" s="2" t="s">
        <v>24</v>
      </c>
      <c r="B218" s="3">
        <v>46019</v>
      </c>
      <c r="C218" s="3" t="str">
        <f t="shared" si="3"/>
        <v>Dec</v>
      </c>
      <c r="D218">
        <v>1</v>
      </c>
      <c r="E218" s="7">
        <f>IFERROR(VLOOKUP(A218, PriceTable!$A$1:$B$31, 2, FALSE) * D218, 0)</f>
        <v>35000</v>
      </c>
    </row>
    <row r="219" spans="1:5" x14ac:dyDescent="0.3">
      <c r="A219" s="2" t="s">
        <v>8</v>
      </c>
      <c r="B219" s="3">
        <v>46021</v>
      </c>
      <c r="C219" s="3" t="str">
        <f t="shared" si="3"/>
        <v>Dec</v>
      </c>
      <c r="D219">
        <v>3</v>
      </c>
      <c r="E219" s="7">
        <f>IFERROR(VLOOKUP(A219, PriceTable!$A$1:$B$31, 2, FALSE) * D219, 0)</f>
        <v>60000</v>
      </c>
    </row>
    <row r="220" spans="1:5" x14ac:dyDescent="0.3">
      <c r="A220" s="2" t="s">
        <v>35</v>
      </c>
      <c r="B220" s="3">
        <v>46021</v>
      </c>
      <c r="C220" s="3" t="str">
        <f t="shared" si="3"/>
        <v>Dec</v>
      </c>
      <c r="D220">
        <v>2</v>
      </c>
      <c r="E220" s="7">
        <f>IFERROR(VLOOKUP(A220, PriceTable!$A$1:$B$31, 2, FALSE) * D220, 0)</f>
        <v>24000</v>
      </c>
    </row>
    <row r="221" spans="1:5" ht="28.8" x14ac:dyDescent="0.3">
      <c r="A221" s="2" t="s">
        <v>5</v>
      </c>
      <c r="B221" s="3">
        <v>46021</v>
      </c>
      <c r="C221" s="3" t="str">
        <f t="shared" si="3"/>
        <v>Dec</v>
      </c>
      <c r="D221">
        <v>2</v>
      </c>
      <c r="E221" s="7">
        <f>IFERROR(VLOOKUP(A221, PriceTable!$A$1:$B$31, 2, FALSE) * D221, 0)</f>
        <v>20000</v>
      </c>
    </row>
    <row r="222" spans="1:5" x14ac:dyDescent="0.3">
      <c r="A222" s="2" t="s">
        <v>35</v>
      </c>
      <c r="B222" s="3">
        <v>46021</v>
      </c>
      <c r="C222" s="3" t="str">
        <f t="shared" si="3"/>
        <v>Dec</v>
      </c>
      <c r="D222">
        <v>2</v>
      </c>
      <c r="E222" s="7">
        <f>IFERROR(VLOOKUP(A222, PriceTable!$A$1:$B$31, 2, FALSE) * D222, 0)</f>
        <v>24000</v>
      </c>
    </row>
    <row r="223" spans="1:5" x14ac:dyDescent="0.3">
      <c r="A223" s="2" t="s">
        <v>24</v>
      </c>
      <c r="B223" s="3">
        <v>46021</v>
      </c>
      <c r="C223" s="3" t="str">
        <f t="shared" si="3"/>
        <v>Dec</v>
      </c>
      <c r="D223">
        <v>1</v>
      </c>
      <c r="E223" s="7">
        <f>IFERROR(VLOOKUP(A223, PriceTable!$A$1:$B$31, 2, FALSE) * D223, 0)</f>
        <v>35000</v>
      </c>
    </row>
    <row r="224" spans="1:5" x14ac:dyDescent="0.3">
      <c r="A224" s="2" t="s">
        <v>3</v>
      </c>
      <c r="B224" s="3">
        <v>46021</v>
      </c>
      <c r="C224" s="3" t="str">
        <f t="shared" si="3"/>
        <v>Dec</v>
      </c>
      <c r="D224">
        <v>1</v>
      </c>
      <c r="E224" s="7">
        <f>IFERROR(VLOOKUP(A224, PriceTable!$A$1:$B$31, 2, FALSE) * D224, 0)</f>
        <v>35000</v>
      </c>
    </row>
    <row r="225" spans="1:5" x14ac:dyDescent="0.3">
      <c r="A225" s="2" t="s">
        <v>7</v>
      </c>
      <c r="B225" s="3">
        <v>46021</v>
      </c>
      <c r="C225" s="3" t="str">
        <f t="shared" si="3"/>
        <v>Dec</v>
      </c>
      <c r="D225">
        <v>2</v>
      </c>
      <c r="E225" s="7">
        <f>IFERROR(VLOOKUP(A225, PriceTable!$A$1:$B$31, 2, FALSE) * D225, 0)</f>
        <v>20000</v>
      </c>
    </row>
    <row r="226" spans="1:5" x14ac:dyDescent="0.3">
      <c r="A226" s="2" t="s">
        <v>59</v>
      </c>
      <c r="B226" s="3">
        <v>46021</v>
      </c>
      <c r="C226" s="3" t="str">
        <f t="shared" si="3"/>
        <v>Dec</v>
      </c>
      <c r="D226">
        <v>1</v>
      </c>
      <c r="E226" s="7">
        <f>IFERROR(VLOOKUP(A226, PriceTable!$A$1:$B$45, 2, FALSE) * D226, 0)</f>
        <v>10000</v>
      </c>
    </row>
    <row r="227" spans="1:5" x14ac:dyDescent="0.3">
      <c r="A227" s="2" t="s">
        <v>48</v>
      </c>
      <c r="B227" s="3">
        <v>46021</v>
      </c>
      <c r="C227" s="3" t="str">
        <f t="shared" si="3"/>
        <v>Dec</v>
      </c>
      <c r="D227">
        <v>1</v>
      </c>
      <c r="E227" s="7">
        <f>IFERROR(VLOOKUP(A227, PriceTable!$A$1:$B$31, 2, FALSE) * D227, 0)</f>
        <v>5000</v>
      </c>
    </row>
    <row r="228" spans="1:5" ht="28.8" x14ac:dyDescent="0.3">
      <c r="A228" s="2" t="s">
        <v>5</v>
      </c>
      <c r="B228" s="3">
        <v>46022</v>
      </c>
      <c r="C228" s="3" t="s">
        <v>50</v>
      </c>
      <c r="D228">
        <v>1</v>
      </c>
      <c r="E228" s="7">
        <f>IFERROR(VLOOKUP(A228, PriceTable!$A$1:$B$31, 2, FALSE) * D228, 0)</f>
        <v>10000</v>
      </c>
    </row>
  </sheetData>
  <sortState xmlns:xlrd2="http://schemas.microsoft.com/office/spreadsheetml/2017/richdata2" ref="A2:E66">
    <sortCondition ref="B2:B66"/>
  </sortState>
  <phoneticPr fontId="2" type="noConversion"/>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96CAB-0AF7-4DBD-924D-949CC7432C66}">
  <dimension ref="A1:I323"/>
  <sheetViews>
    <sheetView workbookViewId="0">
      <pane ySplit="1" topLeftCell="A2" activePane="bottomLeft" state="frozen"/>
      <selection pane="bottomLeft" activeCell="C5" sqref="C5"/>
    </sheetView>
  </sheetViews>
  <sheetFormatPr defaultRowHeight="14.4" x14ac:dyDescent="0.3"/>
  <cols>
    <col min="1" max="1" width="26.6640625" bestFit="1" customWidth="1"/>
    <col min="2" max="2" width="10.44140625" style="3" customWidth="1"/>
    <col min="4" max="4" width="9.6640625" customWidth="1"/>
    <col min="5" max="5" width="14.44140625" style="7" bestFit="1" customWidth="1"/>
    <col min="9" max="9" width="15.88671875" bestFit="1" customWidth="1"/>
  </cols>
  <sheetData>
    <row r="1" spans="1:9" x14ac:dyDescent="0.3">
      <c r="A1" s="14" t="s">
        <v>0</v>
      </c>
      <c r="B1" s="16" t="s">
        <v>18</v>
      </c>
      <c r="C1" s="16" t="s">
        <v>40</v>
      </c>
      <c r="D1" s="15" t="s">
        <v>19</v>
      </c>
      <c r="E1" s="22" t="s">
        <v>37</v>
      </c>
    </row>
    <row r="2" spans="1:9" x14ac:dyDescent="0.3">
      <c r="A2" t="s">
        <v>58</v>
      </c>
      <c r="B2" s="17">
        <v>46024</v>
      </c>
      <c r="C2" t="str">
        <f>TEXT(B2, "mmm")</f>
        <v>Jan</v>
      </c>
      <c r="D2">
        <v>2</v>
      </c>
      <c r="E2" s="7">
        <f>IFERROR(VLOOKUP(A2, PriceTable!$A$1:$B$45, 2, FALSE) * D2, 0)</f>
        <v>40000</v>
      </c>
      <c r="H2" t="s">
        <v>86</v>
      </c>
      <c r="I2" s="18">
        <f>SUM(E2:E119)</f>
        <v>3136000</v>
      </c>
    </row>
    <row r="3" spans="1:9" x14ac:dyDescent="0.3">
      <c r="A3" t="s">
        <v>5</v>
      </c>
      <c r="B3" s="3">
        <v>46024</v>
      </c>
      <c r="C3" t="str">
        <f t="shared" ref="C3:C64" si="0">TEXT(B3, "mmm")</f>
        <v>Jan</v>
      </c>
      <c r="D3">
        <v>3</v>
      </c>
      <c r="E3" s="7">
        <f>IFERROR(VLOOKUP(A3, PriceTable!$A$1:$B$45, 2, FALSE) * D3, 0)</f>
        <v>30000</v>
      </c>
      <c r="H3" t="s">
        <v>87</v>
      </c>
      <c r="I3" s="6">
        <f>SUM(E120:E227)</f>
        <v>3339000</v>
      </c>
    </row>
    <row r="4" spans="1:9" x14ac:dyDescent="0.3">
      <c r="A4" t="s">
        <v>59</v>
      </c>
      <c r="B4" s="3">
        <v>46024</v>
      </c>
      <c r="C4" t="str">
        <f>TEXT(B4, "mmm")</f>
        <v>Jan</v>
      </c>
      <c r="D4">
        <v>2</v>
      </c>
      <c r="E4" s="7">
        <f>IFERROR(VLOOKUP(A4, PriceTable!$A$1:$B$45, 2, FALSE) * D4, 0)</f>
        <v>20000</v>
      </c>
      <c r="H4" t="s">
        <v>88</v>
      </c>
      <c r="I4" s="6">
        <f>SUM(E228:E323)</f>
        <v>2800000</v>
      </c>
    </row>
    <row r="5" spans="1:9" x14ac:dyDescent="0.3">
      <c r="A5" t="s">
        <v>30</v>
      </c>
      <c r="B5" s="3">
        <v>46024</v>
      </c>
      <c r="C5" t="str">
        <f t="shared" si="0"/>
        <v>Jan</v>
      </c>
      <c r="D5">
        <v>1</v>
      </c>
      <c r="E5" s="7">
        <f>IFERROR(VLOOKUP(A5, PriceTable!$A$1:$B$45, 2, FALSE) * D5, 0)</f>
        <v>10000</v>
      </c>
      <c r="I5" s="7">
        <f>SUM(I2:I4)</f>
        <v>9275000</v>
      </c>
    </row>
    <row r="6" spans="1:9" x14ac:dyDescent="0.3">
      <c r="A6" t="s">
        <v>12</v>
      </c>
      <c r="B6" s="3">
        <v>46024</v>
      </c>
      <c r="C6" t="str">
        <f t="shared" si="0"/>
        <v>Jan</v>
      </c>
      <c r="D6">
        <v>2</v>
      </c>
      <c r="E6" s="7">
        <f>IFERROR(VLOOKUP(A6, PriceTable!$A$1:$B$45, 2, FALSE) * D6, 0)</f>
        <v>24000</v>
      </c>
    </row>
    <row r="7" spans="1:9" x14ac:dyDescent="0.3">
      <c r="A7" t="s">
        <v>29</v>
      </c>
      <c r="B7" s="3">
        <v>46024</v>
      </c>
      <c r="C7" t="str">
        <f t="shared" si="0"/>
        <v>Jan</v>
      </c>
      <c r="D7">
        <v>1</v>
      </c>
      <c r="E7" s="7">
        <f>IFERROR(VLOOKUP(A7, PriceTable!$A$1:$B$45, 2, FALSE) * D7, 0)</f>
        <v>5000</v>
      </c>
    </row>
    <row r="8" spans="1:9" x14ac:dyDescent="0.3">
      <c r="A8" t="s">
        <v>8</v>
      </c>
      <c r="B8" s="3">
        <v>46024</v>
      </c>
      <c r="C8" t="str">
        <f t="shared" si="0"/>
        <v>Jan</v>
      </c>
      <c r="D8">
        <v>1</v>
      </c>
      <c r="E8" s="7">
        <f>IFERROR(VLOOKUP(A8, PriceTable!$A$1:$B$45, 2, FALSE) * D8, 0)</f>
        <v>20000</v>
      </c>
    </row>
    <row r="9" spans="1:9" x14ac:dyDescent="0.3">
      <c r="A9" t="s">
        <v>14</v>
      </c>
      <c r="B9" s="3">
        <v>46024</v>
      </c>
      <c r="C9" t="str">
        <f t="shared" si="0"/>
        <v>Jan</v>
      </c>
      <c r="D9">
        <v>1</v>
      </c>
      <c r="E9" s="7">
        <f>IFERROR(VLOOKUP(A9, PriceTable!$A$1:$B$45, 2, FALSE) * D9, 0)</f>
        <v>15000</v>
      </c>
    </row>
    <row r="10" spans="1:9" x14ac:dyDescent="0.3">
      <c r="A10" t="s">
        <v>33</v>
      </c>
      <c r="B10" s="3">
        <v>46024</v>
      </c>
      <c r="C10" t="str">
        <f t="shared" si="0"/>
        <v>Jan</v>
      </c>
      <c r="D10">
        <v>2</v>
      </c>
      <c r="E10" s="7">
        <f>IFERROR(VLOOKUP(A10, PriceTable!$A$1:$B$45, 2, FALSE) * D10, 0)</f>
        <v>110000</v>
      </c>
    </row>
    <row r="11" spans="1:9" x14ac:dyDescent="0.3">
      <c r="A11" t="s">
        <v>12</v>
      </c>
      <c r="B11" s="3">
        <v>46025</v>
      </c>
      <c r="C11" t="str">
        <f t="shared" si="0"/>
        <v>Jan</v>
      </c>
      <c r="D11">
        <v>4</v>
      </c>
      <c r="E11" s="7">
        <f>IFERROR(VLOOKUP(A11, PriceTable!$A$1:$B$45, 2, FALSE) * D11, 0)</f>
        <v>48000</v>
      </c>
    </row>
    <row r="12" spans="1:9" x14ac:dyDescent="0.3">
      <c r="A12" t="s">
        <v>5</v>
      </c>
      <c r="B12" s="3">
        <v>46025</v>
      </c>
      <c r="C12" t="str">
        <f t="shared" si="0"/>
        <v>Jan</v>
      </c>
      <c r="D12">
        <v>1</v>
      </c>
      <c r="E12" s="7">
        <f>IFERROR(VLOOKUP(A12, PriceTable!$A$1:$B$45, 2, FALSE) * D12, 0)</f>
        <v>10000</v>
      </c>
    </row>
    <row r="13" spans="1:9" x14ac:dyDescent="0.3">
      <c r="A13" t="s">
        <v>60</v>
      </c>
      <c r="B13" s="3">
        <v>46025</v>
      </c>
      <c r="C13" t="str">
        <f t="shared" si="0"/>
        <v>Jan</v>
      </c>
      <c r="D13">
        <v>1</v>
      </c>
      <c r="E13" s="7">
        <f>IFERROR(VLOOKUP(A13, PriceTable!$A$1:$B$45, 2, FALSE) * D13, 0)</f>
        <v>35000</v>
      </c>
    </row>
    <row r="14" spans="1:9" x14ac:dyDescent="0.3">
      <c r="A14" t="s">
        <v>12</v>
      </c>
      <c r="B14" s="3">
        <v>46027</v>
      </c>
      <c r="C14" t="str">
        <f t="shared" si="0"/>
        <v>Jan</v>
      </c>
      <c r="D14">
        <v>2</v>
      </c>
      <c r="E14" s="7">
        <f>IFERROR(VLOOKUP(A14, PriceTable!$A$1:$B$45, 2, FALSE) * D14, 0)</f>
        <v>24000</v>
      </c>
    </row>
    <row r="15" spans="1:9" x14ac:dyDescent="0.3">
      <c r="A15" t="s">
        <v>13</v>
      </c>
      <c r="B15" s="3">
        <v>46027</v>
      </c>
      <c r="C15" t="str">
        <f t="shared" si="0"/>
        <v>Jan</v>
      </c>
      <c r="D15">
        <v>1</v>
      </c>
      <c r="E15" s="7">
        <f>IFERROR(VLOOKUP(A15, PriceTable!$A$1:$B$45, 2, FALSE) * D15, 0)</f>
        <v>25000</v>
      </c>
    </row>
    <row r="16" spans="1:9" x14ac:dyDescent="0.3">
      <c r="A16" t="s">
        <v>8</v>
      </c>
      <c r="B16" s="3">
        <v>46027</v>
      </c>
      <c r="C16" t="str">
        <f t="shared" si="0"/>
        <v>Jan</v>
      </c>
      <c r="D16">
        <v>1</v>
      </c>
      <c r="E16" s="7">
        <f>IFERROR(VLOOKUP(A16, PriceTable!$A$1:$B$45, 2, FALSE) * D16, 0)</f>
        <v>20000</v>
      </c>
    </row>
    <row r="17" spans="1:5" x14ac:dyDescent="0.3">
      <c r="A17" t="s">
        <v>5</v>
      </c>
      <c r="B17" s="3">
        <v>46027</v>
      </c>
      <c r="C17" t="str">
        <f t="shared" si="0"/>
        <v>Jan</v>
      </c>
      <c r="D17">
        <v>1</v>
      </c>
      <c r="E17" s="7">
        <f>IFERROR(VLOOKUP(A17, PriceTable!$A$1:$B$45, 2, FALSE) * D17, 0)</f>
        <v>10000</v>
      </c>
    </row>
    <row r="18" spans="1:5" x14ac:dyDescent="0.3">
      <c r="A18" t="s">
        <v>59</v>
      </c>
      <c r="B18" s="3">
        <v>46027</v>
      </c>
      <c r="C18" t="str">
        <f t="shared" si="0"/>
        <v>Jan</v>
      </c>
      <c r="D18">
        <v>1</v>
      </c>
      <c r="E18" s="7">
        <f>IFERROR(VLOOKUP(A18, PriceTable!$A$1:$B$45, 2, FALSE) * D18, 0)</f>
        <v>10000</v>
      </c>
    </row>
    <row r="19" spans="1:5" x14ac:dyDescent="0.3">
      <c r="A19" t="s">
        <v>13</v>
      </c>
      <c r="B19" s="3">
        <v>46028</v>
      </c>
      <c r="C19" t="str">
        <f t="shared" si="0"/>
        <v>Jan</v>
      </c>
      <c r="D19">
        <v>1</v>
      </c>
      <c r="E19" s="7">
        <f>IFERROR(VLOOKUP(A19, PriceTable!$A$1:$B$45, 2, FALSE) * D19, 0)</f>
        <v>25000</v>
      </c>
    </row>
    <row r="20" spans="1:5" x14ac:dyDescent="0.3">
      <c r="A20" t="s">
        <v>14</v>
      </c>
      <c r="B20" s="3">
        <v>46028</v>
      </c>
      <c r="C20" t="str">
        <f t="shared" si="0"/>
        <v>Jan</v>
      </c>
      <c r="D20">
        <v>1</v>
      </c>
      <c r="E20" s="7">
        <f>IFERROR(VLOOKUP(A20, PriceTable!$A$1:$B$45, 2, FALSE) * D20, 0)</f>
        <v>15000</v>
      </c>
    </row>
    <row r="21" spans="1:5" x14ac:dyDescent="0.3">
      <c r="A21" t="s">
        <v>5</v>
      </c>
      <c r="B21" s="3">
        <v>46028</v>
      </c>
      <c r="C21" t="str">
        <f t="shared" si="0"/>
        <v>Jan</v>
      </c>
      <c r="D21">
        <v>1</v>
      </c>
      <c r="E21" s="7">
        <f>IFERROR(VLOOKUP(A21, PriceTable!$A$1:$B$45, 2, FALSE) * D21, 0)</f>
        <v>10000</v>
      </c>
    </row>
    <row r="22" spans="1:5" x14ac:dyDescent="0.3">
      <c r="A22" t="s">
        <v>61</v>
      </c>
      <c r="B22" s="3">
        <v>46028</v>
      </c>
      <c r="C22" t="str">
        <f t="shared" si="0"/>
        <v>Jan</v>
      </c>
      <c r="D22">
        <v>1</v>
      </c>
      <c r="E22" s="7">
        <f>IFERROR(VLOOKUP(A22, PriceTable!$A$1:$B$45, 2, FALSE) * D22, 0)</f>
        <v>10000</v>
      </c>
    </row>
    <row r="23" spans="1:5" x14ac:dyDescent="0.3">
      <c r="A23" t="s">
        <v>8</v>
      </c>
      <c r="B23" s="3">
        <v>46028</v>
      </c>
      <c r="C23" t="str">
        <f t="shared" si="0"/>
        <v>Jan</v>
      </c>
      <c r="D23">
        <v>1</v>
      </c>
      <c r="E23" s="7">
        <f>IFERROR(VLOOKUP(A23, PriceTable!$A$1:$B$45, 2, FALSE) * D23, 0)</f>
        <v>20000</v>
      </c>
    </row>
    <row r="24" spans="1:5" x14ac:dyDescent="0.3">
      <c r="A24" t="s">
        <v>62</v>
      </c>
      <c r="B24" s="3">
        <v>46028</v>
      </c>
      <c r="C24" t="str">
        <f t="shared" si="0"/>
        <v>Jan</v>
      </c>
      <c r="D24">
        <v>1</v>
      </c>
      <c r="E24" s="7">
        <f>IFERROR(VLOOKUP(A24, PriceTable!$A$1:$B$45, 2, FALSE) * D24, 0)</f>
        <v>10000</v>
      </c>
    </row>
    <row r="25" spans="1:5" x14ac:dyDescent="0.3">
      <c r="A25" t="s">
        <v>25</v>
      </c>
      <c r="B25" s="3">
        <v>46029</v>
      </c>
      <c r="C25" t="str">
        <f t="shared" si="0"/>
        <v>Jan</v>
      </c>
      <c r="D25">
        <v>2</v>
      </c>
      <c r="E25" s="7">
        <f>IFERROR(VLOOKUP(A25, PriceTable!$A$1:$B$45, 2, FALSE) * D25, 0)</f>
        <v>70000</v>
      </c>
    </row>
    <row r="26" spans="1:5" x14ac:dyDescent="0.3">
      <c r="A26" s="2" t="s">
        <v>47</v>
      </c>
      <c r="B26" s="3">
        <v>46029</v>
      </c>
      <c r="C26" t="str">
        <f t="shared" si="0"/>
        <v>Jan</v>
      </c>
      <c r="D26">
        <v>1</v>
      </c>
      <c r="E26" s="7">
        <f>IFERROR(VLOOKUP(A26, PriceTable!$A$1:$B$45, 2, FALSE) * D26, 0)</f>
        <v>20000</v>
      </c>
    </row>
    <row r="27" spans="1:5" x14ac:dyDescent="0.3">
      <c r="A27" t="s">
        <v>30</v>
      </c>
      <c r="B27" s="3">
        <v>46029</v>
      </c>
      <c r="C27" t="str">
        <f t="shared" si="0"/>
        <v>Jan</v>
      </c>
      <c r="D27">
        <v>1</v>
      </c>
      <c r="E27" s="7">
        <f>IFERROR(VLOOKUP(A27, PriceTable!$A$1:$B$45, 2, FALSE) * D27, 0)</f>
        <v>10000</v>
      </c>
    </row>
    <row r="28" spans="1:5" x14ac:dyDescent="0.3">
      <c r="A28" t="s">
        <v>59</v>
      </c>
      <c r="B28" s="3">
        <v>46029</v>
      </c>
      <c r="C28" t="str">
        <f t="shared" si="0"/>
        <v>Jan</v>
      </c>
      <c r="D28">
        <v>1</v>
      </c>
      <c r="E28" s="7">
        <f>IFERROR(VLOOKUP(A28, PriceTable!$A$1:$B$45, 2, FALSE) * D28, 0)</f>
        <v>10000</v>
      </c>
    </row>
    <row r="29" spans="1:5" x14ac:dyDescent="0.3">
      <c r="A29" t="s">
        <v>8</v>
      </c>
      <c r="B29" s="3">
        <v>46029</v>
      </c>
      <c r="C29" t="str">
        <f t="shared" si="0"/>
        <v>Jan</v>
      </c>
      <c r="D29">
        <v>1</v>
      </c>
      <c r="E29" s="7">
        <f>IFERROR(VLOOKUP(A29, PriceTable!$A$1:$B$45, 2, FALSE) * D29, 0)</f>
        <v>20000</v>
      </c>
    </row>
    <row r="30" spans="1:5" x14ac:dyDescent="0.3">
      <c r="A30" t="s">
        <v>30</v>
      </c>
      <c r="B30" s="3">
        <v>46031</v>
      </c>
      <c r="C30" t="str">
        <f t="shared" si="0"/>
        <v>Jan</v>
      </c>
      <c r="D30">
        <v>1</v>
      </c>
      <c r="E30" s="7">
        <f>IFERROR(VLOOKUP(A30, PriceTable!$A$1:$B$45, 2, FALSE) * D30, 0)</f>
        <v>10000</v>
      </c>
    </row>
    <row r="31" spans="1:5" x14ac:dyDescent="0.3">
      <c r="A31" t="s">
        <v>25</v>
      </c>
      <c r="B31" s="3">
        <v>46031</v>
      </c>
      <c r="C31" t="str">
        <f t="shared" si="0"/>
        <v>Jan</v>
      </c>
      <c r="D31">
        <v>2</v>
      </c>
      <c r="E31" s="7">
        <f>IFERROR(VLOOKUP(A31, PriceTable!$A$1:$B$45, 2, FALSE) * D31, 0)</f>
        <v>70000</v>
      </c>
    </row>
    <row r="32" spans="1:5" x14ac:dyDescent="0.3">
      <c r="A32" t="s">
        <v>64</v>
      </c>
      <c r="B32" s="3">
        <v>46031</v>
      </c>
      <c r="C32" t="str">
        <f t="shared" si="0"/>
        <v>Jan</v>
      </c>
      <c r="D32">
        <v>1</v>
      </c>
      <c r="E32" s="7">
        <f>IFERROR(VLOOKUP(A32, PriceTable!$A$1:$B$45, 2, FALSE) * D32, 0)</f>
        <v>5000</v>
      </c>
    </row>
    <row r="33" spans="1:5" x14ac:dyDescent="0.3">
      <c r="A33" t="s">
        <v>65</v>
      </c>
      <c r="B33" s="3">
        <v>46031</v>
      </c>
      <c r="C33" t="str">
        <f t="shared" si="0"/>
        <v>Jan</v>
      </c>
      <c r="D33">
        <v>1</v>
      </c>
      <c r="E33" s="7">
        <f>IFERROR(VLOOKUP(A33, PriceTable!$A$1:$B$45, 2, FALSE) * D33, 0)</f>
        <v>25000</v>
      </c>
    </row>
    <row r="34" spans="1:5" x14ac:dyDescent="0.3">
      <c r="A34" t="s">
        <v>62</v>
      </c>
      <c r="B34" s="3">
        <v>46031</v>
      </c>
      <c r="C34" t="str">
        <f t="shared" si="0"/>
        <v>Jan</v>
      </c>
      <c r="D34">
        <v>2</v>
      </c>
      <c r="E34" s="7">
        <f>IFERROR(VLOOKUP(A34, PriceTable!$A$1:$B$45, 2, FALSE) * D34, 0)</f>
        <v>20000</v>
      </c>
    </row>
    <row r="35" spans="1:5" x14ac:dyDescent="0.3">
      <c r="A35" t="s">
        <v>3</v>
      </c>
      <c r="B35" s="3">
        <v>46031</v>
      </c>
      <c r="C35" t="str">
        <f t="shared" si="0"/>
        <v>Jan</v>
      </c>
      <c r="D35">
        <v>1</v>
      </c>
      <c r="E35" s="7">
        <f>IFERROR(VLOOKUP(A35, PriceTable!$A$1:$B$45, 2, FALSE) * D35, 0)</f>
        <v>35000</v>
      </c>
    </row>
    <row r="36" spans="1:5" x14ac:dyDescent="0.3">
      <c r="A36" t="s">
        <v>13</v>
      </c>
      <c r="B36" s="3">
        <v>46031</v>
      </c>
      <c r="C36" t="str">
        <f t="shared" si="0"/>
        <v>Jan</v>
      </c>
      <c r="D36">
        <v>1</v>
      </c>
      <c r="E36" s="7">
        <f>IFERROR(VLOOKUP(A36, PriceTable!$A$1:$B$45, 2, FALSE) * D36, 0)</f>
        <v>25000</v>
      </c>
    </row>
    <row r="37" spans="1:5" x14ac:dyDescent="0.3">
      <c r="A37" t="s">
        <v>66</v>
      </c>
      <c r="B37" s="3">
        <v>46031</v>
      </c>
      <c r="C37" t="str">
        <f t="shared" si="0"/>
        <v>Jan</v>
      </c>
      <c r="D37">
        <v>1</v>
      </c>
      <c r="E37" s="7">
        <f>IFERROR(VLOOKUP(A37, PriceTable!$A$1:$B$45, 2, FALSE) * D37, 0)</f>
        <v>25000</v>
      </c>
    </row>
    <row r="38" spans="1:5" x14ac:dyDescent="0.3">
      <c r="A38" t="s">
        <v>60</v>
      </c>
      <c r="B38" s="3">
        <v>46031</v>
      </c>
      <c r="C38" t="str">
        <f t="shared" si="0"/>
        <v>Jan</v>
      </c>
      <c r="D38">
        <v>1</v>
      </c>
      <c r="E38" s="7">
        <f>IFERROR(VLOOKUP(A38, PriceTable!$A$1:$B$45, 2, FALSE) * D38, 0)</f>
        <v>35000</v>
      </c>
    </row>
    <row r="39" spans="1:5" x14ac:dyDescent="0.3">
      <c r="A39" t="s">
        <v>5</v>
      </c>
      <c r="B39" s="3">
        <v>46032</v>
      </c>
      <c r="C39" t="str">
        <f t="shared" si="0"/>
        <v>Jan</v>
      </c>
      <c r="D39">
        <v>1</v>
      </c>
      <c r="E39" s="7">
        <f>IFERROR(VLOOKUP(A39, PriceTable!$A$1:$B$45, 2, FALSE) * D39, 0)</f>
        <v>10000</v>
      </c>
    </row>
    <row r="40" spans="1:5" x14ac:dyDescent="0.3">
      <c r="A40" t="s">
        <v>8</v>
      </c>
      <c r="B40" s="3">
        <v>46032</v>
      </c>
      <c r="C40" t="str">
        <f t="shared" si="0"/>
        <v>Jan</v>
      </c>
      <c r="D40">
        <v>1</v>
      </c>
      <c r="E40" s="7">
        <f>IFERROR(VLOOKUP(A40, PriceTable!$A$1:$B$45, 2, FALSE) * D40, 0)</f>
        <v>20000</v>
      </c>
    </row>
    <row r="41" spans="1:5" x14ac:dyDescent="0.3">
      <c r="A41" t="s">
        <v>67</v>
      </c>
      <c r="B41" s="3">
        <v>46034</v>
      </c>
      <c r="C41" t="str">
        <f t="shared" si="0"/>
        <v>Jan</v>
      </c>
      <c r="D41">
        <v>1</v>
      </c>
      <c r="E41" s="7">
        <f>IFERROR(VLOOKUP(A41, PriceTable!$A$1:$B$45, 2, FALSE) * D41, 0)</f>
        <v>10000</v>
      </c>
    </row>
    <row r="42" spans="1:5" x14ac:dyDescent="0.3">
      <c r="A42" t="s">
        <v>68</v>
      </c>
      <c r="B42" s="3">
        <v>46034</v>
      </c>
      <c r="C42" t="str">
        <f t="shared" si="0"/>
        <v>Jan</v>
      </c>
      <c r="D42">
        <v>1</v>
      </c>
      <c r="E42" s="7">
        <f>IFERROR(VLOOKUP(A42, PriceTable!$A$1:$B$45, 2, FALSE) * D42, 0)</f>
        <v>35000</v>
      </c>
    </row>
    <row r="43" spans="1:5" x14ac:dyDescent="0.3">
      <c r="A43" t="s">
        <v>5</v>
      </c>
      <c r="B43" s="3">
        <v>46034</v>
      </c>
      <c r="C43" t="str">
        <f t="shared" si="0"/>
        <v>Jan</v>
      </c>
      <c r="D43">
        <v>3</v>
      </c>
      <c r="E43" s="7">
        <f>IFERROR(VLOOKUP(A43, PriceTable!$A$1:$B$45, 2, FALSE) * D43, 0)</f>
        <v>30000</v>
      </c>
    </row>
    <row r="44" spans="1:5" x14ac:dyDescent="0.3">
      <c r="A44" t="s">
        <v>14</v>
      </c>
      <c r="B44" s="3">
        <v>46034</v>
      </c>
      <c r="C44" t="str">
        <f t="shared" si="0"/>
        <v>Jan</v>
      </c>
      <c r="D44">
        <v>1</v>
      </c>
      <c r="E44" s="7">
        <f>IFERROR(VLOOKUP(A44, PriceTable!$A$1:$B$45, 2, FALSE) * D44, 0)</f>
        <v>15000</v>
      </c>
    </row>
    <row r="45" spans="1:5" x14ac:dyDescent="0.3">
      <c r="A45" t="s">
        <v>78</v>
      </c>
      <c r="B45" s="3">
        <v>46034</v>
      </c>
      <c r="C45" t="str">
        <f t="shared" si="0"/>
        <v>Jan</v>
      </c>
      <c r="D45">
        <v>1</v>
      </c>
      <c r="E45" s="7">
        <f>IFERROR(VLOOKUP(A45, PriceTable!$A$1:$B$45, 2, FALSE) * D45, 0)</f>
        <v>7000</v>
      </c>
    </row>
    <row r="46" spans="1:5" x14ac:dyDescent="0.3">
      <c r="A46" t="s">
        <v>70</v>
      </c>
      <c r="B46" s="3">
        <v>46034</v>
      </c>
      <c r="C46" t="str">
        <f t="shared" si="0"/>
        <v>Jan</v>
      </c>
      <c r="D46">
        <v>1</v>
      </c>
      <c r="E46" s="7">
        <v>10000</v>
      </c>
    </row>
    <row r="47" spans="1:5" x14ac:dyDescent="0.3">
      <c r="A47" t="s">
        <v>59</v>
      </c>
      <c r="B47" s="3">
        <v>46034</v>
      </c>
      <c r="C47" t="str">
        <f t="shared" si="0"/>
        <v>Jan</v>
      </c>
      <c r="D47">
        <v>1</v>
      </c>
      <c r="E47" s="7">
        <f>IFERROR(VLOOKUP(A47, PriceTable!$A$1:$B$45, 2, FALSE) * D47, 0)</f>
        <v>10000</v>
      </c>
    </row>
    <row r="48" spans="1:5" x14ac:dyDescent="0.3">
      <c r="A48" t="s">
        <v>5</v>
      </c>
      <c r="B48" s="3">
        <v>46035</v>
      </c>
      <c r="C48" t="str">
        <f t="shared" si="0"/>
        <v>Jan</v>
      </c>
      <c r="D48">
        <v>3</v>
      </c>
      <c r="E48" s="7">
        <f>IFERROR(VLOOKUP(A48, PriceTable!$A$1:$B$45, 2, FALSE) * D48, 0)</f>
        <v>30000</v>
      </c>
    </row>
    <row r="49" spans="1:5" x14ac:dyDescent="0.3">
      <c r="A49" t="s">
        <v>13</v>
      </c>
      <c r="B49" s="3">
        <v>46035</v>
      </c>
      <c r="C49" t="str">
        <f t="shared" si="0"/>
        <v>Jan</v>
      </c>
      <c r="D49">
        <v>1</v>
      </c>
      <c r="E49" s="7">
        <f>IFERROR(VLOOKUP(A49, PriceTable!$A$1:$B$45, 2, FALSE) * D49, 0)</f>
        <v>25000</v>
      </c>
    </row>
    <row r="50" spans="1:5" x14ac:dyDescent="0.3">
      <c r="A50" t="s">
        <v>61</v>
      </c>
      <c r="B50" s="3">
        <v>46035</v>
      </c>
      <c r="C50" t="str">
        <f t="shared" si="0"/>
        <v>Jan</v>
      </c>
      <c r="D50">
        <v>1</v>
      </c>
      <c r="E50" s="7">
        <f>IFERROR(VLOOKUP(A50, PriceTable!$A$1:$B$45, 2, FALSE) * D50, 0)</f>
        <v>10000</v>
      </c>
    </row>
    <row r="51" spans="1:5" x14ac:dyDescent="0.3">
      <c r="A51" t="s">
        <v>71</v>
      </c>
      <c r="B51" s="3">
        <v>46035</v>
      </c>
      <c r="C51" t="str">
        <f t="shared" si="0"/>
        <v>Jan</v>
      </c>
      <c r="D51">
        <v>1</v>
      </c>
      <c r="E51" s="7">
        <f>IFERROR(VLOOKUP(A51, PriceTable!$A$1:$B$45, 2, FALSE) * D51, 0)</f>
        <v>105000</v>
      </c>
    </row>
    <row r="52" spans="1:5" x14ac:dyDescent="0.3">
      <c r="A52" t="s">
        <v>8</v>
      </c>
      <c r="B52" s="3">
        <v>46035</v>
      </c>
      <c r="C52" t="str">
        <f t="shared" si="0"/>
        <v>Jan</v>
      </c>
      <c r="D52">
        <v>1</v>
      </c>
      <c r="E52" s="7">
        <f>IFERROR(VLOOKUP(A52, PriceTable!$A$1:$B$45, 2, FALSE) * D52, 0)</f>
        <v>20000</v>
      </c>
    </row>
    <row r="53" spans="1:5" x14ac:dyDescent="0.3">
      <c r="A53" t="s">
        <v>12</v>
      </c>
      <c r="B53" s="3">
        <v>46035</v>
      </c>
      <c r="C53" t="str">
        <f t="shared" si="0"/>
        <v>Jan</v>
      </c>
      <c r="D53">
        <v>1</v>
      </c>
      <c r="E53" s="7">
        <f>IFERROR(VLOOKUP(A53, PriceTable!$A$1:$B$45, 2, FALSE) * D53, 0)</f>
        <v>12000</v>
      </c>
    </row>
    <row r="54" spans="1:5" x14ac:dyDescent="0.3">
      <c r="A54" t="s">
        <v>30</v>
      </c>
      <c r="B54" s="3">
        <v>46036</v>
      </c>
      <c r="C54" t="str">
        <f t="shared" si="0"/>
        <v>Jan</v>
      </c>
      <c r="D54">
        <v>1</v>
      </c>
      <c r="E54" s="7">
        <f>IFERROR(VLOOKUP(A54, PriceTable!$A$1:$B$45, 2, FALSE) * D54, 0)</f>
        <v>10000</v>
      </c>
    </row>
    <row r="55" spans="1:5" x14ac:dyDescent="0.3">
      <c r="A55" t="s">
        <v>59</v>
      </c>
      <c r="B55" s="3">
        <v>46036</v>
      </c>
      <c r="C55" t="str">
        <f t="shared" si="0"/>
        <v>Jan</v>
      </c>
      <c r="D55">
        <v>2</v>
      </c>
      <c r="E55" s="7">
        <f>IFERROR(VLOOKUP(A55, PriceTable!$A$1:$B$45, 2, FALSE) * D55, 0)</f>
        <v>20000</v>
      </c>
    </row>
    <row r="56" spans="1:5" x14ac:dyDescent="0.3">
      <c r="A56" t="s">
        <v>12</v>
      </c>
      <c r="B56" s="3">
        <v>46038</v>
      </c>
      <c r="C56" t="str">
        <f t="shared" si="0"/>
        <v>Jan</v>
      </c>
      <c r="D56">
        <v>2</v>
      </c>
      <c r="E56" s="7">
        <f>IFERROR(VLOOKUP(A56, PriceTable!$A$1:$B$45, 2, FALSE) * D56, 0)</f>
        <v>24000</v>
      </c>
    </row>
    <row r="57" spans="1:5" x14ac:dyDescent="0.3">
      <c r="A57" t="s">
        <v>5</v>
      </c>
      <c r="B57" s="3">
        <v>46038</v>
      </c>
      <c r="C57" t="str">
        <f t="shared" si="0"/>
        <v>Jan</v>
      </c>
      <c r="D57">
        <v>2</v>
      </c>
      <c r="E57" s="7">
        <f>IFERROR(VLOOKUP(A57, PriceTable!$A$1:$B$45, 2, FALSE) * D57, 0)</f>
        <v>20000</v>
      </c>
    </row>
    <row r="58" spans="1:5" x14ac:dyDescent="0.3">
      <c r="A58" t="s">
        <v>72</v>
      </c>
      <c r="B58" s="3">
        <v>46038</v>
      </c>
      <c r="C58" t="str">
        <f t="shared" si="0"/>
        <v>Jan</v>
      </c>
      <c r="D58">
        <v>1</v>
      </c>
      <c r="E58" s="7">
        <f>IFERROR(VLOOKUP(A58, PriceTable!$A$1:$B$45, 2, FALSE) * D58, 0)</f>
        <v>135000</v>
      </c>
    </row>
    <row r="59" spans="1:5" x14ac:dyDescent="0.3">
      <c r="A59" t="s">
        <v>74</v>
      </c>
      <c r="B59" s="3">
        <v>46039</v>
      </c>
      <c r="C59" t="str">
        <f t="shared" si="0"/>
        <v>Jan</v>
      </c>
      <c r="D59">
        <v>1</v>
      </c>
      <c r="E59" s="7">
        <f>IFERROR(VLOOKUP(A59, PriceTable!$A$1:$B$45, 2, FALSE) * D59, 0)</f>
        <v>55000</v>
      </c>
    </row>
    <row r="60" spans="1:5" x14ac:dyDescent="0.3">
      <c r="A60" t="s">
        <v>12</v>
      </c>
      <c r="B60" s="3">
        <v>46039</v>
      </c>
      <c r="C60" t="str">
        <f t="shared" si="0"/>
        <v>Jan</v>
      </c>
      <c r="D60">
        <v>1</v>
      </c>
      <c r="E60" s="7">
        <f>IFERROR(VLOOKUP(A60, PriceTable!$A$1:$B$45, 2, FALSE) * D60, 0)</f>
        <v>12000</v>
      </c>
    </row>
    <row r="61" spans="1:5" x14ac:dyDescent="0.3">
      <c r="A61" t="s">
        <v>75</v>
      </c>
      <c r="B61" s="3">
        <v>46039</v>
      </c>
      <c r="C61" t="str">
        <f t="shared" si="0"/>
        <v>Jan</v>
      </c>
      <c r="D61">
        <v>1</v>
      </c>
      <c r="E61" s="7">
        <f>IFERROR(VLOOKUP(A61, PriceTable!$A$1:$B$45, 2, FALSE) * D61, 0)</f>
        <v>70000</v>
      </c>
    </row>
    <row r="62" spans="1:5" x14ac:dyDescent="0.3">
      <c r="A62" t="s">
        <v>46</v>
      </c>
      <c r="B62" s="3">
        <v>46041</v>
      </c>
      <c r="C62" t="str">
        <f t="shared" si="0"/>
        <v>Jan</v>
      </c>
      <c r="D62">
        <v>1</v>
      </c>
      <c r="E62" s="7">
        <f>IFERROR(VLOOKUP(A62, PriceTable!$A$1:$B$45, 2, FALSE) * D62, 0)</f>
        <v>35000</v>
      </c>
    </row>
    <row r="63" spans="1:5" x14ac:dyDescent="0.3">
      <c r="A63" t="s">
        <v>59</v>
      </c>
      <c r="B63" s="3">
        <v>46041</v>
      </c>
      <c r="C63" t="str">
        <f t="shared" si="0"/>
        <v>Jan</v>
      </c>
      <c r="D63">
        <v>1</v>
      </c>
      <c r="E63" s="7">
        <f>IFERROR(VLOOKUP(A63, PriceTable!$A$1:$B$45, 2, FALSE) * D63, 0)</f>
        <v>10000</v>
      </c>
    </row>
    <row r="64" spans="1:5" x14ac:dyDescent="0.3">
      <c r="A64" t="s">
        <v>14</v>
      </c>
      <c r="B64" s="3">
        <v>46041</v>
      </c>
      <c r="C64" t="str">
        <f t="shared" si="0"/>
        <v>Jan</v>
      </c>
      <c r="D64">
        <v>2</v>
      </c>
      <c r="E64" s="7">
        <f>IFERROR(VLOOKUP(A64, PriceTable!$A$1:$B$45, 2, FALSE) * D64, 0)</f>
        <v>30000</v>
      </c>
    </row>
    <row r="65" spans="1:5" x14ac:dyDescent="0.3">
      <c r="A65" t="s">
        <v>30</v>
      </c>
      <c r="B65" s="3">
        <v>46042</v>
      </c>
      <c r="C65" t="str">
        <f t="shared" ref="C65:C232" si="1">TEXT(B65, "mmm")</f>
        <v>Jan</v>
      </c>
      <c r="D65">
        <v>2</v>
      </c>
      <c r="E65" s="7">
        <f>IFERROR(VLOOKUP(A65, PriceTable!$A$1:$B$45, 2, FALSE) * D65, 0)</f>
        <v>20000</v>
      </c>
    </row>
    <row r="66" spans="1:5" x14ac:dyDescent="0.3">
      <c r="A66" t="s">
        <v>8</v>
      </c>
      <c r="B66" s="3">
        <v>46042</v>
      </c>
      <c r="C66" t="str">
        <f t="shared" si="1"/>
        <v>Jan</v>
      </c>
      <c r="D66">
        <v>4</v>
      </c>
      <c r="E66" s="7">
        <f>IFERROR(VLOOKUP(A66, PriceTable!$A$1:$B$45, 2, FALSE) * D66, 0)</f>
        <v>80000</v>
      </c>
    </row>
    <row r="67" spans="1:5" x14ac:dyDescent="0.3">
      <c r="A67" t="s">
        <v>49</v>
      </c>
      <c r="B67" s="3">
        <v>46042</v>
      </c>
      <c r="C67" t="str">
        <f t="shared" si="1"/>
        <v>Jan</v>
      </c>
      <c r="D67">
        <v>1</v>
      </c>
      <c r="E67" s="7">
        <f>IFERROR(VLOOKUP(A67, PriceTable!$A$1:$B$45, 2, FALSE) * D67, 0)</f>
        <v>7000</v>
      </c>
    </row>
    <row r="68" spans="1:5" x14ac:dyDescent="0.3">
      <c r="A68" t="s">
        <v>13</v>
      </c>
      <c r="B68" s="3">
        <v>46042</v>
      </c>
      <c r="C68" t="str">
        <f t="shared" si="1"/>
        <v>Jan</v>
      </c>
      <c r="D68">
        <v>1</v>
      </c>
      <c r="E68" s="7">
        <f>IFERROR(VLOOKUP(A68, PriceTable!$A$1:$B$45, 2, FALSE) * D68, 0)</f>
        <v>25000</v>
      </c>
    </row>
    <row r="69" spans="1:5" x14ac:dyDescent="0.3">
      <c r="A69" t="s">
        <v>12</v>
      </c>
      <c r="B69" s="3">
        <v>46042</v>
      </c>
      <c r="C69" t="str">
        <f t="shared" si="1"/>
        <v>Jan</v>
      </c>
      <c r="D69">
        <v>1</v>
      </c>
      <c r="E69" s="7">
        <f>IFERROR(VLOOKUP(A69, PriceTable!$A$1:$B$45, 2, FALSE) * D69, 0)</f>
        <v>12000</v>
      </c>
    </row>
    <row r="70" spans="1:5" x14ac:dyDescent="0.3">
      <c r="A70" t="s">
        <v>5</v>
      </c>
      <c r="B70" s="3">
        <v>46042</v>
      </c>
      <c r="C70" t="str">
        <f t="shared" si="1"/>
        <v>Jan</v>
      </c>
      <c r="D70">
        <v>1</v>
      </c>
      <c r="E70" s="7">
        <f>IFERROR(VLOOKUP(A70, PriceTable!$A$1:$B$45, 2, FALSE) * D70, 0)</f>
        <v>10000</v>
      </c>
    </row>
    <row r="71" spans="1:5" x14ac:dyDescent="0.3">
      <c r="A71" t="s">
        <v>76</v>
      </c>
      <c r="B71" s="3">
        <v>46042</v>
      </c>
      <c r="C71" t="str">
        <f t="shared" si="1"/>
        <v>Jan</v>
      </c>
      <c r="D71">
        <v>1</v>
      </c>
      <c r="E71" s="7">
        <f>IFERROR(VLOOKUP(A71, PriceTable!$A$1:$B$45, 2, FALSE) * D71, 0)</f>
        <v>5000</v>
      </c>
    </row>
    <row r="72" spans="1:5" x14ac:dyDescent="0.3">
      <c r="A72" t="s">
        <v>60</v>
      </c>
      <c r="B72" s="3">
        <v>46043</v>
      </c>
      <c r="C72" t="str">
        <f t="shared" si="1"/>
        <v>Jan</v>
      </c>
      <c r="D72">
        <v>2</v>
      </c>
      <c r="E72" s="7">
        <f>IFERROR(VLOOKUP(A72, PriceTable!$A$1:$B$45, 2, FALSE) * D72, 0)</f>
        <v>70000</v>
      </c>
    </row>
    <row r="73" spans="1:5" x14ac:dyDescent="0.3">
      <c r="A73" t="s">
        <v>79</v>
      </c>
      <c r="B73" s="3">
        <v>46044</v>
      </c>
      <c r="C73" t="str">
        <f t="shared" si="1"/>
        <v>Jan</v>
      </c>
      <c r="D73">
        <v>1</v>
      </c>
      <c r="E73" s="7">
        <f>IFERROR(VLOOKUP(A73, PriceTable!$A$1:$B$45, 2, FALSE) * D73, 0)</f>
        <v>10000</v>
      </c>
    </row>
    <row r="74" spans="1:5" x14ac:dyDescent="0.3">
      <c r="A74" t="s">
        <v>30</v>
      </c>
      <c r="B74" s="3">
        <v>46044</v>
      </c>
      <c r="C74" t="str">
        <f t="shared" si="1"/>
        <v>Jan</v>
      </c>
      <c r="D74">
        <v>2</v>
      </c>
      <c r="E74" s="7">
        <f>IFERROR(VLOOKUP(A74, PriceTable!$A$1:$B$45, 2, FALSE) * D74, 0)</f>
        <v>20000</v>
      </c>
    </row>
    <row r="75" spans="1:5" x14ac:dyDescent="0.3">
      <c r="A75" t="s">
        <v>62</v>
      </c>
      <c r="B75" s="3">
        <v>46044</v>
      </c>
      <c r="C75" t="str">
        <f t="shared" si="1"/>
        <v>Jan</v>
      </c>
      <c r="D75">
        <v>1</v>
      </c>
      <c r="E75" s="7">
        <f>IFERROR(VLOOKUP(A75, PriceTable!$A$1:$B$45, 2, FALSE) * D75, 0)</f>
        <v>10000</v>
      </c>
    </row>
    <row r="76" spans="1:5" x14ac:dyDescent="0.3">
      <c r="A76" t="s">
        <v>3</v>
      </c>
      <c r="B76" s="3">
        <v>46044</v>
      </c>
      <c r="C76" t="str">
        <f t="shared" si="1"/>
        <v>Jan</v>
      </c>
      <c r="D76">
        <v>1</v>
      </c>
      <c r="E76" s="7">
        <f>IFERROR(VLOOKUP(A76, PriceTable!$A$1:$B$45, 2, FALSE) * D76, 0)</f>
        <v>35000</v>
      </c>
    </row>
    <row r="77" spans="1:5" x14ac:dyDescent="0.3">
      <c r="A77" t="s">
        <v>59</v>
      </c>
      <c r="B77" s="3">
        <v>46044</v>
      </c>
      <c r="C77" t="str">
        <f t="shared" si="1"/>
        <v>Jan</v>
      </c>
      <c r="D77">
        <v>1</v>
      </c>
      <c r="E77" s="7">
        <f>IFERROR(VLOOKUP(A77, PriceTable!$A$1:$B$45, 2, FALSE) * D77, 0)</f>
        <v>10000</v>
      </c>
    </row>
    <row r="78" spans="1:5" x14ac:dyDescent="0.3">
      <c r="A78" t="s">
        <v>8</v>
      </c>
      <c r="B78" s="3">
        <v>46044</v>
      </c>
      <c r="C78" t="str">
        <f t="shared" si="1"/>
        <v>Jan</v>
      </c>
      <c r="D78">
        <v>1</v>
      </c>
      <c r="E78" s="7">
        <f>IFERROR(VLOOKUP(A78, PriceTable!$A$1:$B$45, 2, FALSE) * D78, 0)</f>
        <v>20000</v>
      </c>
    </row>
    <row r="79" spans="1:5" x14ac:dyDescent="0.3">
      <c r="A79" t="s">
        <v>12</v>
      </c>
      <c r="B79" s="3">
        <v>46045</v>
      </c>
      <c r="C79" t="str">
        <f t="shared" si="1"/>
        <v>Jan</v>
      </c>
      <c r="D79">
        <v>4</v>
      </c>
      <c r="E79" s="7">
        <f>IFERROR(VLOOKUP(A79, PriceTable!$A$1:$B$45, 2, FALSE) * D79, 0)</f>
        <v>48000</v>
      </c>
    </row>
    <row r="80" spans="1:5" x14ac:dyDescent="0.3">
      <c r="A80" t="s">
        <v>79</v>
      </c>
      <c r="B80" s="3">
        <v>46045</v>
      </c>
      <c r="C80" t="str">
        <f t="shared" si="1"/>
        <v>Jan</v>
      </c>
      <c r="D80">
        <v>1</v>
      </c>
      <c r="E80" s="7">
        <f>IFERROR(VLOOKUP(A80, PriceTable!$A$1:$B$45, 2, FALSE) * D80, 0)</f>
        <v>10000</v>
      </c>
    </row>
    <row r="81" spans="1:5" x14ac:dyDescent="0.3">
      <c r="A81" t="s">
        <v>67</v>
      </c>
      <c r="B81" s="3">
        <v>46045</v>
      </c>
      <c r="C81" t="str">
        <f t="shared" si="1"/>
        <v>Jan</v>
      </c>
      <c r="D81">
        <v>1</v>
      </c>
      <c r="E81" s="7">
        <f>IFERROR(VLOOKUP(A81, PriceTable!$A$1:$B$45, 2, FALSE) * D81, 0)</f>
        <v>10000</v>
      </c>
    </row>
    <row r="82" spans="1:5" x14ac:dyDescent="0.3">
      <c r="A82" t="s">
        <v>80</v>
      </c>
      <c r="B82" s="3">
        <v>46045</v>
      </c>
      <c r="C82" t="str">
        <f t="shared" si="1"/>
        <v>Jan</v>
      </c>
      <c r="D82">
        <v>1</v>
      </c>
      <c r="E82" s="7">
        <f>IFERROR(VLOOKUP(A82, PriceTable!$A$1:$B$45, 2, FALSE) * D82, 0)</f>
        <v>5000</v>
      </c>
    </row>
    <row r="83" spans="1:5" x14ac:dyDescent="0.3">
      <c r="A83" t="s">
        <v>3</v>
      </c>
      <c r="B83" s="3">
        <v>46045</v>
      </c>
      <c r="C83" t="str">
        <f t="shared" si="1"/>
        <v>Jan</v>
      </c>
      <c r="D83">
        <v>1</v>
      </c>
      <c r="E83" s="7">
        <f>IFERROR(VLOOKUP(A83, PriceTable!$A$1:$B$45, 2, FALSE) * D83, 0)</f>
        <v>35000</v>
      </c>
    </row>
    <row r="84" spans="1:5" x14ac:dyDescent="0.3">
      <c r="A84" t="s">
        <v>8</v>
      </c>
      <c r="B84" s="3">
        <v>46045</v>
      </c>
      <c r="C84" t="str">
        <f t="shared" si="1"/>
        <v>Jan</v>
      </c>
      <c r="D84">
        <v>1</v>
      </c>
      <c r="E84" s="7">
        <f>IFERROR(VLOOKUP(A84, PriceTable!$A$1:$B$45, 2, FALSE) * D84, 0)</f>
        <v>20000</v>
      </c>
    </row>
    <row r="85" spans="1:5" x14ac:dyDescent="0.3">
      <c r="A85" t="s">
        <v>8</v>
      </c>
      <c r="B85" s="3">
        <v>46046</v>
      </c>
      <c r="C85" t="str">
        <f t="shared" si="1"/>
        <v>Jan</v>
      </c>
      <c r="D85">
        <v>2</v>
      </c>
      <c r="E85" s="7">
        <f>IFERROR(VLOOKUP(A85, PriceTable!$A$1:$B$45, 2, FALSE) * D85, 0)</f>
        <v>40000</v>
      </c>
    </row>
    <row r="86" spans="1:5" x14ac:dyDescent="0.3">
      <c r="A86" t="s">
        <v>5</v>
      </c>
      <c r="B86" s="3">
        <v>46046</v>
      </c>
      <c r="C86" t="str">
        <f t="shared" si="1"/>
        <v>Jan</v>
      </c>
      <c r="D86">
        <v>1</v>
      </c>
      <c r="E86" s="7">
        <f>IFERROR(VLOOKUP(A86, PriceTable!$A$1:$B$45, 2, FALSE) * D86, 0)</f>
        <v>10000</v>
      </c>
    </row>
    <row r="87" spans="1:5" x14ac:dyDescent="0.3">
      <c r="A87" t="s">
        <v>21</v>
      </c>
      <c r="B87" s="3">
        <v>46046</v>
      </c>
      <c r="C87" t="str">
        <f t="shared" si="1"/>
        <v>Jan</v>
      </c>
      <c r="D87">
        <v>1</v>
      </c>
      <c r="E87" s="7">
        <f>IFERROR(VLOOKUP(A87, PriceTable!$A$1:$B$45, 2, FALSE) * D87, 0)</f>
        <v>20000</v>
      </c>
    </row>
    <row r="88" spans="1:5" x14ac:dyDescent="0.3">
      <c r="A88" t="s">
        <v>12</v>
      </c>
      <c r="B88" s="3">
        <v>46046</v>
      </c>
      <c r="C88" t="str">
        <f t="shared" si="1"/>
        <v>Jan</v>
      </c>
      <c r="D88">
        <v>1</v>
      </c>
      <c r="E88" s="7">
        <f>IFERROR(VLOOKUP(A88, PriceTable!$A$1:$B$45, 2, FALSE) * D88, 0)</f>
        <v>12000</v>
      </c>
    </row>
    <row r="89" spans="1:5" x14ac:dyDescent="0.3">
      <c r="A89" t="s">
        <v>62</v>
      </c>
      <c r="B89" s="3">
        <v>46046</v>
      </c>
      <c r="C89" t="str">
        <f t="shared" si="1"/>
        <v>Jan</v>
      </c>
      <c r="D89">
        <v>1</v>
      </c>
      <c r="E89" s="7">
        <f>IFERROR(VLOOKUP(A89, PriceTable!$A$1:$B$45, 2, FALSE) * D89, 0)</f>
        <v>10000</v>
      </c>
    </row>
    <row r="90" spans="1:5" x14ac:dyDescent="0.3">
      <c r="A90" t="s">
        <v>59</v>
      </c>
      <c r="B90" s="3">
        <v>46048</v>
      </c>
      <c r="C90" t="str">
        <f t="shared" si="1"/>
        <v>Jan</v>
      </c>
      <c r="D90">
        <v>2</v>
      </c>
      <c r="E90" s="7">
        <f>IFERROR(VLOOKUP(A90, PriceTable!$A$1:$B$45, 2, FALSE) * D90, 0)</f>
        <v>20000</v>
      </c>
    </row>
    <row r="91" spans="1:5" x14ac:dyDescent="0.3">
      <c r="A91" t="s">
        <v>59</v>
      </c>
      <c r="B91" s="3">
        <v>46049</v>
      </c>
      <c r="C91" t="str">
        <f t="shared" si="1"/>
        <v>Jan</v>
      </c>
      <c r="D91">
        <v>4</v>
      </c>
      <c r="E91" s="7">
        <f>IFERROR(VLOOKUP(A91, PriceTable!$A$1:$B$45, 2, FALSE) * D91, 0)</f>
        <v>40000</v>
      </c>
    </row>
    <row r="92" spans="1:5" x14ac:dyDescent="0.3">
      <c r="A92" t="s">
        <v>31</v>
      </c>
      <c r="B92" s="3">
        <v>46049</v>
      </c>
      <c r="C92" t="str">
        <f t="shared" si="1"/>
        <v>Jan</v>
      </c>
      <c r="D92">
        <v>1</v>
      </c>
      <c r="E92" s="7">
        <f>IFERROR(VLOOKUP(A92, PriceTable!$A$1:$B$45, 2, FALSE) * D92, 0)</f>
        <v>20000</v>
      </c>
    </row>
    <row r="93" spans="1:5" x14ac:dyDescent="0.3">
      <c r="A93" t="s">
        <v>80</v>
      </c>
      <c r="B93" s="3">
        <v>46049</v>
      </c>
      <c r="C93" t="str">
        <f t="shared" si="1"/>
        <v>Jan</v>
      </c>
      <c r="D93">
        <v>1</v>
      </c>
      <c r="E93" s="7">
        <f>IFERROR(VLOOKUP(A93, PriceTable!$A$1:$B$45, 2, FALSE) * D93, 0)</f>
        <v>5000</v>
      </c>
    </row>
    <row r="94" spans="1:5" x14ac:dyDescent="0.3">
      <c r="A94" t="s">
        <v>3</v>
      </c>
      <c r="B94" s="3">
        <v>46049</v>
      </c>
      <c r="C94" t="str">
        <f t="shared" si="1"/>
        <v>Jan</v>
      </c>
      <c r="D94">
        <v>1</v>
      </c>
      <c r="E94" s="7">
        <f>IFERROR(VLOOKUP(A94, PriceTable!$A$1:$B$45, 2, FALSE) * D94, 0)</f>
        <v>35000</v>
      </c>
    </row>
    <row r="95" spans="1:5" x14ac:dyDescent="0.3">
      <c r="A95" t="s">
        <v>72</v>
      </c>
      <c r="B95" s="3">
        <v>46049</v>
      </c>
      <c r="C95" t="str">
        <f t="shared" si="1"/>
        <v>Jan</v>
      </c>
      <c r="D95">
        <v>1</v>
      </c>
      <c r="E95" s="7">
        <f>IFERROR(VLOOKUP(A95, PriceTable!$A$1:$B$45, 2, FALSE) * D95, 0)</f>
        <v>135000</v>
      </c>
    </row>
    <row r="96" spans="1:5" x14ac:dyDescent="0.3">
      <c r="A96" t="s">
        <v>8</v>
      </c>
      <c r="B96" s="3">
        <v>46050</v>
      </c>
      <c r="C96" t="str">
        <f t="shared" si="1"/>
        <v>Jan</v>
      </c>
      <c r="D96">
        <v>1</v>
      </c>
      <c r="E96" s="7">
        <f>IFERROR(VLOOKUP(A96, PriceTable!$A$1:$B$45, 2, FALSE) * D96, 0)</f>
        <v>20000</v>
      </c>
    </row>
    <row r="97" spans="1:5" x14ac:dyDescent="0.3">
      <c r="A97" t="s">
        <v>49</v>
      </c>
      <c r="B97" s="3">
        <v>46050</v>
      </c>
      <c r="C97" t="str">
        <f t="shared" si="1"/>
        <v>Jan</v>
      </c>
      <c r="D97">
        <v>1</v>
      </c>
      <c r="E97" s="7">
        <f>IFERROR(VLOOKUP(A97, PriceTable!$A$1:$B$45, 2, FALSE) * D97, 0)</f>
        <v>7000</v>
      </c>
    </row>
    <row r="98" spans="1:5" x14ac:dyDescent="0.3">
      <c r="A98" t="s">
        <v>59</v>
      </c>
      <c r="B98" s="3">
        <v>46050</v>
      </c>
      <c r="C98" t="str">
        <f t="shared" si="1"/>
        <v>Jan</v>
      </c>
      <c r="D98">
        <v>1</v>
      </c>
      <c r="E98" s="7">
        <f>IFERROR(VLOOKUP(A98, PriceTable!$A$1:$B$45, 2, FALSE) * D98, 0)</f>
        <v>10000</v>
      </c>
    </row>
    <row r="99" spans="1:5" x14ac:dyDescent="0.3">
      <c r="A99" t="s">
        <v>5</v>
      </c>
      <c r="B99" s="3">
        <v>46050</v>
      </c>
      <c r="C99" t="str">
        <f t="shared" si="1"/>
        <v>Jan</v>
      </c>
      <c r="D99">
        <v>8</v>
      </c>
      <c r="E99" s="7">
        <f>IFERROR(VLOOKUP(A99, PriceTable!$A$1:$B$45, 2, FALSE) * D99, 0)</f>
        <v>80000</v>
      </c>
    </row>
    <row r="100" spans="1:5" x14ac:dyDescent="0.3">
      <c r="A100" t="s">
        <v>12</v>
      </c>
      <c r="B100" s="3">
        <v>46050</v>
      </c>
      <c r="C100" t="str">
        <f t="shared" si="1"/>
        <v>Jan</v>
      </c>
      <c r="D100">
        <v>2</v>
      </c>
      <c r="E100" s="7">
        <f>IFERROR(VLOOKUP(A100, PriceTable!$A$1:$B$45, 2, FALSE) * D100, 0)</f>
        <v>24000</v>
      </c>
    </row>
    <row r="101" spans="1:5" x14ac:dyDescent="0.3">
      <c r="A101" t="s">
        <v>13</v>
      </c>
      <c r="B101" s="3">
        <v>46050</v>
      </c>
      <c r="C101" t="str">
        <f t="shared" si="1"/>
        <v>Jan</v>
      </c>
      <c r="D101">
        <v>1</v>
      </c>
      <c r="E101" s="7">
        <f>IFERROR(VLOOKUP(A101, PriceTable!$A$1:$B$45, 2, FALSE) * D101, 0)</f>
        <v>25000</v>
      </c>
    </row>
    <row r="102" spans="1:5" x14ac:dyDescent="0.3">
      <c r="A102" t="s">
        <v>62</v>
      </c>
      <c r="B102" s="3">
        <v>46050</v>
      </c>
      <c r="C102" t="str">
        <f t="shared" si="1"/>
        <v>Jan</v>
      </c>
      <c r="D102">
        <v>1</v>
      </c>
      <c r="E102" s="7">
        <f>IFERROR(VLOOKUP(A102, PriceTable!$A$1:$B$45, 2, FALSE) * D102, 0)</f>
        <v>10000</v>
      </c>
    </row>
    <row r="103" spans="1:5" x14ac:dyDescent="0.3">
      <c r="A103" t="s">
        <v>74</v>
      </c>
      <c r="B103" s="3">
        <v>46050</v>
      </c>
      <c r="C103" t="str">
        <f t="shared" si="1"/>
        <v>Jan</v>
      </c>
      <c r="D103">
        <v>1</v>
      </c>
      <c r="E103" s="7">
        <f>IFERROR(VLOOKUP(A103, PriceTable!$A$1:$B$45, 2, FALSE) * D103, 0)</f>
        <v>55000</v>
      </c>
    </row>
    <row r="104" spans="1:5" x14ac:dyDescent="0.3">
      <c r="A104" t="s">
        <v>13</v>
      </c>
      <c r="B104" s="3">
        <v>46051</v>
      </c>
      <c r="C104" t="str">
        <f t="shared" si="1"/>
        <v>Jan</v>
      </c>
      <c r="D104">
        <v>1</v>
      </c>
      <c r="E104" s="7">
        <f>IFERROR(VLOOKUP(A104, PriceTable!$A$1:$B$45, 2, FALSE) * D104, 0)</f>
        <v>25000</v>
      </c>
    </row>
    <row r="105" spans="1:5" x14ac:dyDescent="0.3">
      <c r="A105" t="s">
        <v>12</v>
      </c>
      <c r="B105" s="3">
        <v>46051</v>
      </c>
      <c r="C105" t="str">
        <f t="shared" si="1"/>
        <v>Jan</v>
      </c>
      <c r="D105">
        <v>1</v>
      </c>
      <c r="E105" s="7">
        <f>IFERROR(VLOOKUP(A105, PriceTable!$A$1:$B$45, 2, FALSE) * D105, 0)</f>
        <v>12000</v>
      </c>
    </row>
    <row r="106" spans="1:5" x14ac:dyDescent="0.3">
      <c r="A106" t="s">
        <v>72</v>
      </c>
      <c r="B106" s="3">
        <v>46051</v>
      </c>
      <c r="C106" t="str">
        <f t="shared" si="1"/>
        <v>Jan</v>
      </c>
      <c r="D106">
        <v>1</v>
      </c>
      <c r="E106" s="7">
        <f>IFERROR(VLOOKUP(A106, PriceTable!$A$1:$B$45, 2, FALSE) * D106, 0)</f>
        <v>135000</v>
      </c>
    </row>
    <row r="107" spans="1:5" x14ac:dyDescent="0.3">
      <c r="A107" t="s">
        <v>59</v>
      </c>
      <c r="B107" s="3">
        <v>46051</v>
      </c>
      <c r="C107" t="str">
        <f t="shared" si="1"/>
        <v>Jan</v>
      </c>
      <c r="D107">
        <v>2</v>
      </c>
      <c r="E107" s="7">
        <f>IFERROR(VLOOKUP(A107, PriceTable!$A$1:$B$45, 2, FALSE) * D107, 0)</f>
        <v>20000</v>
      </c>
    </row>
    <row r="108" spans="1:5" x14ac:dyDescent="0.3">
      <c r="A108" t="s">
        <v>8</v>
      </c>
      <c r="B108" s="3">
        <v>46051</v>
      </c>
      <c r="C108" t="str">
        <f t="shared" si="1"/>
        <v>Jan</v>
      </c>
      <c r="D108">
        <v>1</v>
      </c>
      <c r="E108" s="7">
        <f>IFERROR(VLOOKUP(A108, PriceTable!$A$1:$B$45, 2, FALSE) * D108, 0)</f>
        <v>20000</v>
      </c>
    </row>
    <row r="109" spans="1:5" x14ac:dyDescent="0.3">
      <c r="A109" t="s">
        <v>5</v>
      </c>
      <c r="B109" s="3">
        <v>46051</v>
      </c>
      <c r="C109" t="str">
        <f t="shared" si="1"/>
        <v>Jan</v>
      </c>
      <c r="D109">
        <v>1</v>
      </c>
      <c r="E109" s="7">
        <f>IFERROR(VLOOKUP(A109, PriceTable!$A$1:$B$45, 2, FALSE) * D109, 0)</f>
        <v>10000</v>
      </c>
    </row>
    <row r="110" spans="1:5" x14ac:dyDescent="0.3">
      <c r="A110" t="s">
        <v>49</v>
      </c>
      <c r="B110" s="3">
        <v>46051</v>
      </c>
      <c r="C110" t="str">
        <f t="shared" si="1"/>
        <v>Jan</v>
      </c>
      <c r="D110">
        <v>3</v>
      </c>
      <c r="E110" s="7">
        <f>IFERROR(VLOOKUP(A110, PriceTable!$A$1:$B$45, 2, FALSE) * D110, 0)</f>
        <v>21000</v>
      </c>
    </row>
    <row r="111" spans="1:5" x14ac:dyDescent="0.3">
      <c r="A111" t="s">
        <v>20</v>
      </c>
      <c r="B111" s="3">
        <v>46052</v>
      </c>
      <c r="C111" t="str">
        <f t="shared" si="1"/>
        <v>Jan</v>
      </c>
      <c r="D111">
        <v>1</v>
      </c>
      <c r="E111" s="7">
        <f>IFERROR(VLOOKUP(A111, PriceTable!$A$1:$B$45, 2, FALSE) * D111, 0)</f>
        <v>35000</v>
      </c>
    </row>
    <row r="112" spans="1:5" x14ac:dyDescent="0.3">
      <c r="A112" t="s">
        <v>5</v>
      </c>
      <c r="B112" s="3">
        <v>46052</v>
      </c>
      <c r="C112" t="str">
        <f t="shared" si="1"/>
        <v>Jan</v>
      </c>
      <c r="D112">
        <v>1</v>
      </c>
      <c r="E112" s="7">
        <f>IFERROR(VLOOKUP(A112, PriceTable!$A$1:$B$45, 2, FALSE) * D112, 0)</f>
        <v>10000</v>
      </c>
    </row>
    <row r="113" spans="1:5" x14ac:dyDescent="0.3">
      <c r="A113" t="s">
        <v>30</v>
      </c>
      <c r="B113" s="3">
        <v>46052</v>
      </c>
      <c r="C113" t="str">
        <f t="shared" si="1"/>
        <v>Jan</v>
      </c>
      <c r="D113">
        <v>1</v>
      </c>
      <c r="E113" s="7">
        <f>IFERROR(VLOOKUP(A113, PriceTable!$A$1:$B$45, 2, FALSE) * D113, 0)</f>
        <v>10000</v>
      </c>
    </row>
    <row r="114" spans="1:5" x14ac:dyDescent="0.3">
      <c r="A114" t="s">
        <v>76</v>
      </c>
      <c r="B114" s="3">
        <v>46052</v>
      </c>
      <c r="C114" t="str">
        <f t="shared" si="1"/>
        <v>Jan</v>
      </c>
      <c r="D114">
        <v>1</v>
      </c>
      <c r="E114" s="7">
        <f>IFERROR(VLOOKUP(A114, PriceTable!$A$1:$B$45, 2, FALSE) * D114, 0)</f>
        <v>5000</v>
      </c>
    </row>
    <row r="115" spans="1:5" x14ac:dyDescent="0.3">
      <c r="A115" t="s">
        <v>5</v>
      </c>
      <c r="B115" s="3">
        <v>46053</v>
      </c>
      <c r="C115" t="str">
        <f t="shared" si="1"/>
        <v>Jan</v>
      </c>
      <c r="D115">
        <v>2</v>
      </c>
      <c r="E115" s="7">
        <f>IFERROR(VLOOKUP(A115, PriceTable!$A$1:$B$45, 2, FALSE) * D115, 0)</f>
        <v>20000</v>
      </c>
    </row>
    <row r="116" spans="1:5" x14ac:dyDescent="0.3">
      <c r="A116" t="s">
        <v>60</v>
      </c>
      <c r="B116" s="3">
        <v>46053</v>
      </c>
      <c r="C116" t="str">
        <f t="shared" si="1"/>
        <v>Jan</v>
      </c>
      <c r="D116">
        <v>1</v>
      </c>
      <c r="E116" s="7">
        <f>IFERROR(VLOOKUP(A116, PriceTable!$A$1:$B$45, 2, FALSE) * D116, 0)</f>
        <v>35000</v>
      </c>
    </row>
    <row r="117" spans="1:5" x14ac:dyDescent="0.3">
      <c r="A117" t="s">
        <v>77</v>
      </c>
      <c r="B117" s="3">
        <v>46053</v>
      </c>
      <c r="C117" t="str">
        <f t="shared" si="1"/>
        <v>Jan</v>
      </c>
      <c r="D117">
        <v>1</v>
      </c>
      <c r="E117" s="7">
        <f>IFERROR(VLOOKUP(A117, PriceTable!$A$1:$B$45, 2, FALSE) * D117, 0)</f>
        <v>25000</v>
      </c>
    </row>
    <row r="118" spans="1:5" x14ac:dyDescent="0.3">
      <c r="A118" t="s">
        <v>59</v>
      </c>
      <c r="B118" s="3">
        <v>46053</v>
      </c>
      <c r="C118" t="str">
        <f t="shared" si="1"/>
        <v>Jan</v>
      </c>
      <c r="D118">
        <v>1</v>
      </c>
      <c r="E118" s="7">
        <f>IFERROR(VLOOKUP(A118, PriceTable!$A$1:$B$45, 2, FALSE) * D118, 0)</f>
        <v>10000</v>
      </c>
    </row>
    <row r="119" spans="1:5" x14ac:dyDescent="0.3">
      <c r="A119" t="s">
        <v>49</v>
      </c>
      <c r="B119" s="3">
        <v>46053</v>
      </c>
      <c r="C119" t="str">
        <f t="shared" si="1"/>
        <v>Jan</v>
      </c>
      <c r="D119">
        <v>1</v>
      </c>
      <c r="E119" s="7">
        <f>IFERROR(VLOOKUP(A119, PriceTable!$A$1:$B$45, 2, FALSE) * D119, 0)</f>
        <v>7000</v>
      </c>
    </row>
    <row r="120" spans="1:5" x14ac:dyDescent="0.3">
      <c r="A120" t="s">
        <v>61</v>
      </c>
      <c r="B120" s="3">
        <v>46055</v>
      </c>
      <c r="C120" t="str">
        <f t="shared" si="1"/>
        <v>Feb</v>
      </c>
      <c r="D120">
        <v>1</v>
      </c>
      <c r="E120" s="7">
        <f>IFERROR(VLOOKUP(A120, PriceTable!$A$1:$B$45, 2, FALSE) * D120, 0)</f>
        <v>10000</v>
      </c>
    </row>
    <row r="121" spans="1:5" x14ac:dyDescent="0.3">
      <c r="A121" t="s">
        <v>8</v>
      </c>
      <c r="B121" s="3">
        <v>46056</v>
      </c>
      <c r="C121" t="str">
        <f t="shared" si="1"/>
        <v>Feb</v>
      </c>
      <c r="D121">
        <v>1</v>
      </c>
      <c r="E121" s="7">
        <f>IFERROR(VLOOKUP(A121, PriceTable!$A$1:$B$45, 2, FALSE) * D121, 0)</f>
        <v>20000</v>
      </c>
    </row>
    <row r="122" spans="1:5" x14ac:dyDescent="0.3">
      <c r="A122" t="s">
        <v>59</v>
      </c>
      <c r="B122" s="3">
        <v>46056</v>
      </c>
      <c r="C122" t="str">
        <f t="shared" si="1"/>
        <v>Feb</v>
      </c>
      <c r="D122">
        <v>1</v>
      </c>
      <c r="E122" s="7">
        <f>IFERROR(VLOOKUP(A122, PriceTable!$A$1:$B$45, 2, FALSE) * D122, 0)</f>
        <v>10000</v>
      </c>
    </row>
    <row r="123" spans="1:5" x14ac:dyDescent="0.3">
      <c r="A123" t="s">
        <v>5</v>
      </c>
      <c r="B123" s="3">
        <v>46056</v>
      </c>
      <c r="C123" t="str">
        <f t="shared" si="1"/>
        <v>Feb</v>
      </c>
      <c r="D123">
        <v>2</v>
      </c>
      <c r="E123" s="7">
        <f>IFERROR(VLOOKUP(A123, PriceTable!$A$1:$B$45, 2, FALSE) * D123, 0)</f>
        <v>20000</v>
      </c>
    </row>
    <row r="124" spans="1:5" x14ac:dyDescent="0.3">
      <c r="A124" t="s">
        <v>8</v>
      </c>
      <c r="B124" s="3">
        <v>46057</v>
      </c>
      <c r="C124" t="str">
        <f t="shared" si="1"/>
        <v>Feb</v>
      </c>
      <c r="D124">
        <v>1</v>
      </c>
      <c r="E124" s="7">
        <f>IFERROR(VLOOKUP(A124, PriceTable!$A$1:$B$45, 2, FALSE) * D124, 0)</f>
        <v>20000</v>
      </c>
    </row>
    <row r="125" spans="1:5" x14ac:dyDescent="0.3">
      <c r="A125" t="s">
        <v>12</v>
      </c>
      <c r="B125" s="3">
        <v>46057</v>
      </c>
      <c r="C125" t="str">
        <f t="shared" si="1"/>
        <v>Feb</v>
      </c>
      <c r="D125">
        <v>1</v>
      </c>
      <c r="E125" s="7">
        <f>IFERROR(VLOOKUP(A125, PriceTable!$A$1:$B$45, 2, FALSE) * D125, 0)</f>
        <v>12000</v>
      </c>
    </row>
    <row r="126" spans="1:5" x14ac:dyDescent="0.3">
      <c r="A126" t="s">
        <v>49</v>
      </c>
      <c r="B126" s="3">
        <v>46057</v>
      </c>
      <c r="C126" t="str">
        <f t="shared" si="1"/>
        <v>Feb</v>
      </c>
      <c r="D126">
        <v>2</v>
      </c>
      <c r="E126" s="7">
        <f>IFERROR(VLOOKUP(A126, PriceTable!$A$1:$B$45, 2, FALSE) * D126, 0)</f>
        <v>14000</v>
      </c>
    </row>
    <row r="127" spans="1:5" x14ac:dyDescent="0.3">
      <c r="A127" t="s">
        <v>13</v>
      </c>
      <c r="B127" s="3">
        <v>46057</v>
      </c>
      <c r="C127" t="str">
        <f t="shared" si="1"/>
        <v>Feb</v>
      </c>
      <c r="D127">
        <v>1</v>
      </c>
      <c r="E127" s="7">
        <f>IFERROR(VLOOKUP(A127, PriceTable!$A$1:$B$45, 2, FALSE) * D127, 0)</f>
        <v>25000</v>
      </c>
    </row>
    <row r="128" spans="1:5" x14ac:dyDescent="0.3">
      <c r="A128" t="s">
        <v>14</v>
      </c>
      <c r="B128" s="3">
        <v>46057</v>
      </c>
      <c r="C128" t="str">
        <f t="shared" si="1"/>
        <v>Feb</v>
      </c>
      <c r="D128">
        <v>1</v>
      </c>
      <c r="E128" s="7">
        <f>IFERROR(VLOOKUP(A128, PriceTable!$A$1:$B$45, 2, FALSE) * D128, 0)</f>
        <v>15000</v>
      </c>
    </row>
    <row r="129" spans="1:5" x14ac:dyDescent="0.3">
      <c r="A129" t="s">
        <v>5</v>
      </c>
      <c r="B129" s="3">
        <v>46057</v>
      </c>
      <c r="C129" t="str">
        <f t="shared" si="1"/>
        <v>Feb</v>
      </c>
      <c r="D129">
        <v>1</v>
      </c>
      <c r="E129" s="7">
        <f>IFERROR(VLOOKUP(A129, PriceTable!$A$1:$B$45, 2, FALSE) * D129, 0)</f>
        <v>10000</v>
      </c>
    </row>
    <row r="130" spans="1:5" x14ac:dyDescent="0.3">
      <c r="A130" s="2" t="s">
        <v>3</v>
      </c>
      <c r="B130" s="3">
        <v>46058</v>
      </c>
      <c r="C130" t="str">
        <f t="shared" si="1"/>
        <v>Feb</v>
      </c>
      <c r="D130">
        <v>1</v>
      </c>
      <c r="E130" s="7">
        <f>IFERROR(VLOOKUP(A130, PriceTable!$A$1:$B$45, 2, FALSE) * D130, 0)</f>
        <v>35000</v>
      </c>
    </row>
    <row r="131" spans="1:5" x14ac:dyDescent="0.3">
      <c r="A131" t="s">
        <v>5</v>
      </c>
      <c r="B131" s="3">
        <v>46058</v>
      </c>
      <c r="C131" t="str">
        <f t="shared" si="1"/>
        <v>Feb</v>
      </c>
      <c r="D131">
        <v>3</v>
      </c>
      <c r="E131" s="7">
        <f>IFERROR(VLOOKUP(A131, PriceTable!$A$1:$B$45, 2, FALSE) * D131, 0)</f>
        <v>30000</v>
      </c>
    </row>
    <row r="132" spans="1:5" x14ac:dyDescent="0.3">
      <c r="A132" s="2" t="s">
        <v>81</v>
      </c>
      <c r="B132" s="3">
        <v>46058</v>
      </c>
      <c r="C132" t="str">
        <f t="shared" si="1"/>
        <v>Feb</v>
      </c>
      <c r="D132">
        <v>1</v>
      </c>
      <c r="E132" s="7">
        <f>IFERROR(VLOOKUP(A132, PriceTable!$A$1:$B$45, 2, FALSE) * D132, 0)</f>
        <v>5000</v>
      </c>
    </row>
    <row r="133" spans="1:5" x14ac:dyDescent="0.3">
      <c r="A133" s="2" t="s">
        <v>28</v>
      </c>
      <c r="B133" s="3">
        <v>46058</v>
      </c>
      <c r="C133" t="str">
        <f t="shared" si="1"/>
        <v>Feb</v>
      </c>
      <c r="D133">
        <v>1</v>
      </c>
      <c r="E133" s="7">
        <f>IFERROR(VLOOKUP(A133, PriceTable!$A$1:$B$45, 2, FALSE) * D133, 0)</f>
        <v>25000</v>
      </c>
    </row>
    <row r="134" spans="1:5" x14ac:dyDescent="0.3">
      <c r="A134" s="2" t="s">
        <v>10</v>
      </c>
      <c r="B134" s="3">
        <v>46058</v>
      </c>
      <c r="C134" t="str">
        <f t="shared" si="1"/>
        <v>Feb</v>
      </c>
      <c r="D134">
        <v>1</v>
      </c>
      <c r="E134" s="7">
        <v>40000</v>
      </c>
    </row>
    <row r="135" spans="1:5" x14ac:dyDescent="0.3">
      <c r="A135" t="s">
        <v>30</v>
      </c>
      <c r="B135" s="3">
        <v>46058</v>
      </c>
      <c r="C135" t="str">
        <f t="shared" si="1"/>
        <v>Feb</v>
      </c>
      <c r="D135">
        <v>1</v>
      </c>
      <c r="E135" s="7">
        <f>IFERROR(VLOOKUP(A135, PriceTable!$A$1:$B$45, 2, FALSE) * D135, 0)</f>
        <v>10000</v>
      </c>
    </row>
    <row r="136" spans="1:5" x14ac:dyDescent="0.3">
      <c r="A136" s="2" t="s">
        <v>47</v>
      </c>
      <c r="B136" s="3">
        <v>46059</v>
      </c>
      <c r="C136" t="str">
        <f t="shared" si="1"/>
        <v>Feb</v>
      </c>
      <c r="D136">
        <v>1</v>
      </c>
      <c r="E136" s="7">
        <f>IFERROR(VLOOKUP(A136, PriceTable!$A$1:$B$45, 2, FALSE) * D136, 0)</f>
        <v>20000</v>
      </c>
    </row>
    <row r="137" spans="1:5" x14ac:dyDescent="0.3">
      <c r="A137" t="s">
        <v>59</v>
      </c>
      <c r="B137" s="3">
        <v>46060</v>
      </c>
      <c r="C137" t="str">
        <f t="shared" si="1"/>
        <v>Feb</v>
      </c>
      <c r="D137">
        <v>1</v>
      </c>
      <c r="E137" s="7">
        <f>IFERROR(VLOOKUP(A137, PriceTable!$A$1:$B$45, 2, FALSE) * D137, 0)</f>
        <v>10000</v>
      </c>
    </row>
    <row r="138" spans="1:5" x14ac:dyDescent="0.3">
      <c r="A138" t="s">
        <v>5</v>
      </c>
      <c r="B138" s="3">
        <v>46062</v>
      </c>
      <c r="C138" t="str">
        <f t="shared" si="1"/>
        <v>Feb</v>
      </c>
      <c r="D138">
        <v>1</v>
      </c>
      <c r="E138" s="7">
        <f>IFERROR(VLOOKUP(A138, PriceTable!$A$1:$B$45, 2, FALSE) * D138, 0)</f>
        <v>10000</v>
      </c>
    </row>
    <row r="139" spans="1:5" x14ac:dyDescent="0.3">
      <c r="A139" t="s">
        <v>8</v>
      </c>
      <c r="B139" s="3">
        <v>46062</v>
      </c>
      <c r="C139" t="str">
        <f t="shared" si="1"/>
        <v>Feb</v>
      </c>
      <c r="D139">
        <v>1</v>
      </c>
      <c r="E139" s="7">
        <f>IFERROR(VLOOKUP(A139, PriceTable!$A$1:$B$45, 2, FALSE) * D139, 0)</f>
        <v>20000</v>
      </c>
    </row>
    <row r="140" spans="1:5" x14ac:dyDescent="0.3">
      <c r="A140" t="s">
        <v>60</v>
      </c>
      <c r="B140" s="3">
        <v>46063</v>
      </c>
      <c r="C140" t="str">
        <f t="shared" si="1"/>
        <v>Feb</v>
      </c>
      <c r="D140">
        <v>1</v>
      </c>
      <c r="E140" s="7">
        <f>IFERROR(VLOOKUP(A140, PriceTable!$A$1:$B$45, 2, FALSE) * D140, 0)</f>
        <v>35000</v>
      </c>
    </row>
    <row r="141" spans="1:5" x14ac:dyDescent="0.3">
      <c r="A141" t="s">
        <v>21</v>
      </c>
      <c r="B141" s="3">
        <v>46063</v>
      </c>
      <c r="C141" t="str">
        <f t="shared" si="1"/>
        <v>Feb</v>
      </c>
      <c r="D141">
        <v>1</v>
      </c>
      <c r="E141" s="7">
        <f>IFERROR(VLOOKUP(A141, PriceTable!$A$1:$B$45, 2, FALSE) * D141, 0)</f>
        <v>20000</v>
      </c>
    </row>
    <row r="142" spans="1:5" x14ac:dyDescent="0.3">
      <c r="A142" t="s">
        <v>8</v>
      </c>
      <c r="B142" s="3">
        <v>46063</v>
      </c>
      <c r="C142" t="str">
        <f t="shared" si="1"/>
        <v>Feb</v>
      </c>
      <c r="D142">
        <v>4</v>
      </c>
      <c r="E142" s="7">
        <f>IFERROR(VLOOKUP(A142, PriceTable!$A$1:$B$45, 2, FALSE) * D142, 0)</f>
        <v>80000</v>
      </c>
    </row>
    <row r="143" spans="1:5" x14ac:dyDescent="0.3">
      <c r="A143" t="s">
        <v>82</v>
      </c>
      <c r="B143" s="3">
        <v>46063</v>
      </c>
      <c r="C143" t="str">
        <f t="shared" si="1"/>
        <v>Feb</v>
      </c>
      <c r="D143">
        <v>1</v>
      </c>
      <c r="E143" s="7">
        <f>IFERROR(VLOOKUP(A143, PriceTable!$A$1:$B$45, 2, FALSE) * D143, 0)</f>
        <v>100000</v>
      </c>
    </row>
    <row r="144" spans="1:5" x14ac:dyDescent="0.3">
      <c r="A144" t="s">
        <v>12</v>
      </c>
      <c r="B144" s="3">
        <v>46063</v>
      </c>
      <c r="C144" t="str">
        <f t="shared" si="1"/>
        <v>Feb</v>
      </c>
      <c r="D144">
        <v>1</v>
      </c>
      <c r="E144" s="7">
        <f>IFERROR(VLOOKUP(A144, PriceTable!$A$1:$B$45, 2, FALSE) * D144, 0)</f>
        <v>12000</v>
      </c>
    </row>
    <row r="145" spans="1:5" x14ac:dyDescent="0.3">
      <c r="A145" s="2" t="s">
        <v>3</v>
      </c>
      <c r="B145" s="3">
        <v>46063</v>
      </c>
      <c r="C145" t="str">
        <f t="shared" si="1"/>
        <v>Feb</v>
      </c>
      <c r="D145">
        <v>1</v>
      </c>
      <c r="E145" s="7">
        <f>IFERROR(VLOOKUP(A145, PriceTable!$A$1:$B$45, 2, FALSE) * D145, 0)</f>
        <v>35000</v>
      </c>
    </row>
    <row r="146" spans="1:5" x14ac:dyDescent="0.3">
      <c r="A146" t="s">
        <v>62</v>
      </c>
      <c r="B146" s="3">
        <v>46063</v>
      </c>
      <c r="C146" t="str">
        <f t="shared" si="1"/>
        <v>Feb</v>
      </c>
      <c r="D146">
        <v>1</v>
      </c>
      <c r="E146" s="7">
        <f>IFERROR(VLOOKUP(A146, PriceTable!$A$1:$B$45, 2, FALSE) * D146, 0)</f>
        <v>10000</v>
      </c>
    </row>
    <row r="147" spans="1:5" x14ac:dyDescent="0.3">
      <c r="A147" s="2" t="s">
        <v>24</v>
      </c>
      <c r="B147" s="3">
        <v>46064</v>
      </c>
      <c r="C147" t="str">
        <f t="shared" si="1"/>
        <v>Feb</v>
      </c>
      <c r="D147">
        <v>1</v>
      </c>
      <c r="E147" s="7">
        <f>IFERROR(VLOOKUP(A147, PriceTable!$A$1:$B$45, 2, FALSE) * D147, 0)</f>
        <v>35000</v>
      </c>
    </row>
    <row r="148" spans="1:5" x14ac:dyDescent="0.3">
      <c r="A148" t="s">
        <v>5</v>
      </c>
      <c r="B148" s="3">
        <v>46064</v>
      </c>
      <c r="C148" t="str">
        <f t="shared" si="1"/>
        <v>Feb</v>
      </c>
      <c r="D148">
        <v>2</v>
      </c>
      <c r="E148" s="7">
        <f>IFERROR(VLOOKUP(A148, PriceTable!$A$1:$B$45, 2, FALSE) * D148, 0)</f>
        <v>20000</v>
      </c>
    </row>
    <row r="149" spans="1:5" x14ac:dyDescent="0.3">
      <c r="A149" s="2" t="s">
        <v>8</v>
      </c>
      <c r="B149" s="3">
        <v>46064</v>
      </c>
      <c r="C149" t="str">
        <f t="shared" si="1"/>
        <v>Feb</v>
      </c>
      <c r="D149">
        <v>1</v>
      </c>
      <c r="E149" s="7">
        <f>IFERROR(VLOOKUP(A149, PriceTable!$A$1:$B$45, 2, FALSE) * D149, 0)</f>
        <v>20000</v>
      </c>
    </row>
    <row r="150" spans="1:5" x14ac:dyDescent="0.3">
      <c r="A150" s="2" t="s">
        <v>24</v>
      </c>
      <c r="B150" s="3">
        <v>46065</v>
      </c>
      <c r="C150" t="str">
        <f t="shared" si="1"/>
        <v>Feb</v>
      </c>
      <c r="D150">
        <v>2</v>
      </c>
      <c r="E150" s="7">
        <f>IFERROR(VLOOKUP(A150, PriceTable!$A$1:$B$45, 2, FALSE) * D150, 0)</f>
        <v>70000</v>
      </c>
    </row>
    <row r="151" spans="1:5" x14ac:dyDescent="0.3">
      <c r="A151" s="2" t="s">
        <v>12</v>
      </c>
      <c r="B151" s="3">
        <v>46065</v>
      </c>
      <c r="C151" t="str">
        <f t="shared" si="1"/>
        <v>Feb</v>
      </c>
      <c r="D151">
        <v>1</v>
      </c>
      <c r="E151" s="7">
        <f>IFERROR(VLOOKUP(A151, PriceTable!$A$1:$B$45, 2, FALSE) * D151, 0)</f>
        <v>12000</v>
      </c>
    </row>
    <row r="152" spans="1:5" x14ac:dyDescent="0.3">
      <c r="A152" s="2" t="s">
        <v>6</v>
      </c>
      <c r="B152" s="3">
        <v>46065</v>
      </c>
      <c r="C152" t="str">
        <f t="shared" si="1"/>
        <v>Feb</v>
      </c>
      <c r="D152">
        <v>1</v>
      </c>
      <c r="E152" s="7">
        <f>IFERROR(VLOOKUP(A152, PriceTable!$A$1:$B$45, 2, FALSE) * D152, 0)</f>
        <v>10000</v>
      </c>
    </row>
    <row r="153" spans="1:5" x14ac:dyDescent="0.3">
      <c r="A153" t="s">
        <v>49</v>
      </c>
      <c r="B153" s="3">
        <v>46065</v>
      </c>
      <c r="C153" t="str">
        <f t="shared" si="1"/>
        <v>Feb</v>
      </c>
      <c r="D153">
        <v>1</v>
      </c>
      <c r="E153" s="7">
        <f>IFERROR(VLOOKUP(A153, PriceTable!$A$1:$B$45, 2, FALSE) * D153, 0)</f>
        <v>7000</v>
      </c>
    </row>
    <row r="154" spans="1:5" x14ac:dyDescent="0.3">
      <c r="A154" s="2" t="s">
        <v>3</v>
      </c>
      <c r="B154" s="3">
        <v>46066</v>
      </c>
      <c r="C154" t="str">
        <f t="shared" si="1"/>
        <v>Feb</v>
      </c>
      <c r="D154">
        <v>1</v>
      </c>
      <c r="E154" s="7">
        <f>IFERROR(VLOOKUP(A154, PriceTable!$A$1:$B$45, 2, FALSE) * D154, 0)</f>
        <v>35000</v>
      </c>
    </row>
    <row r="155" spans="1:5" x14ac:dyDescent="0.3">
      <c r="A155" t="s">
        <v>5</v>
      </c>
      <c r="B155" s="3">
        <v>46066</v>
      </c>
      <c r="C155" t="str">
        <f t="shared" si="1"/>
        <v>Feb</v>
      </c>
      <c r="D155">
        <v>1</v>
      </c>
      <c r="E155" s="7">
        <f>IFERROR(VLOOKUP(A155, PriceTable!$A$1:$B$45, 2, FALSE) * D155, 0)</f>
        <v>10000</v>
      </c>
    </row>
    <row r="156" spans="1:5" x14ac:dyDescent="0.3">
      <c r="A156" s="2" t="s">
        <v>6</v>
      </c>
      <c r="B156" s="3">
        <v>46066</v>
      </c>
      <c r="C156" t="str">
        <f t="shared" si="1"/>
        <v>Feb</v>
      </c>
      <c r="D156">
        <v>1</v>
      </c>
      <c r="E156" s="7">
        <f>IFERROR(VLOOKUP(A156, PriceTable!$A$1:$B$45, 2, FALSE) * D156, 0)</f>
        <v>10000</v>
      </c>
    </row>
    <row r="157" spans="1:5" x14ac:dyDescent="0.3">
      <c r="A157" s="2" t="s">
        <v>66</v>
      </c>
      <c r="B157" s="3">
        <v>46067</v>
      </c>
      <c r="C157" t="str">
        <f t="shared" si="1"/>
        <v>Feb</v>
      </c>
      <c r="D157">
        <v>1</v>
      </c>
      <c r="E157" s="7">
        <f>IFERROR(VLOOKUP(A157, PriceTable!$A$1:$B$45, 2, FALSE) * D157, 0)</f>
        <v>25000</v>
      </c>
    </row>
    <row r="158" spans="1:5" x14ac:dyDescent="0.3">
      <c r="A158" s="2" t="s">
        <v>45</v>
      </c>
      <c r="B158" s="3">
        <v>46067</v>
      </c>
      <c r="C158" t="str">
        <f t="shared" si="1"/>
        <v>Feb</v>
      </c>
      <c r="D158">
        <v>1</v>
      </c>
      <c r="E158" s="7">
        <f>IFERROR(VLOOKUP(A158, PriceTable!$A$1:$B$45, 2, FALSE) * D158, 0)</f>
        <v>20000</v>
      </c>
    </row>
    <row r="159" spans="1:5" x14ac:dyDescent="0.3">
      <c r="A159" s="2" t="s">
        <v>8</v>
      </c>
      <c r="B159" s="3">
        <v>46067</v>
      </c>
      <c r="C159" t="str">
        <f t="shared" si="1"/>
        <v>Feb</v>
      </c>
      <c r="D159">
        <v>3</v>
      </c>
      <c r="E159" s="7">
        <f>IFERROR(VLOOKUP(A159, PriceTable!$A$1:$B$45, 2, FALSE) * D159, 0)</f>
        <v>60000</v>
      </c>
    </row>
    <row r="160" spans="1:5" x14ac:dyDescent="0.3">
      <c r="A160" s="2" t="s">
        <v>3</v>
      </c>
      <c r="B160" s="3">
        <v>46067</v>
      </c>
      <c r="C160" t="str">
        <f t="shared" si="1"/>
        <v>Feb</v>
      </c>
      <c r="D160">
        <v>2</v>
      </c>
      <c r="E160" s="7">
        <f>IFERROR(VLOOKUP(A160, PriceTable!$A$1:$B$45, 2, FALSE) * D160, 0)</f>
        <v>70000</v>
      </c>
    </row>
    <row r="161" spans="1:5" x14ac:dyDescent="0.3">
      <c r="A161" t="s">
        <v>59</v>
      </c>
      <c r="B161" s="3">
        <v>46067</v>
      </c>
      <c r="C161" t="str">
        <f t="shared" si="1"/>
        <v>Feb</v>
      </c>
      <c r="D161">
        <v>2</v>
      </c>
      <c r="E161" s="7">
        <f>IFERROR(VLOOKUP(A161, PriceTable!$A$1:$B$45, 2, FALSE) * D161, 0)</f>
        <v>20000</v>
      </c>
    </row>
    <row r="162" spans="1:5" x14ac:dyDescent="0.3">
      <c r="A162" s="2" t="s">
        <v>13</v>
      </c>
      <c r="B162" s="3">
        <v>46067</v>
      </c>
      <c r="C162" t="str">
        <f t="shared" si="1"/>
        <v>Feb</v>
      </c>
      <c r="D162">
        <v>10</v>
      </c>
      <c r="E162" s="7">
        <f>IFERROR(VLOOKUP(A162, PriceTable!$A$1:$B$45, 2, FALSE) * D162, 0)</f>
        <v>250000</v>
      </c>
    </row>
    <row r="163" spans="1:5" x14ac:dyDescent="0.3">
      <c r="A163" t="s">
        <v>5</v>
      </c>
      <c r="B163" s="3">
        <v>46067</v>
      </c>
      <c r="C163" t="str">
        <f t="shared" si="1"/>
        <v>Feb</v>
      </c>
      <c r="D163">
        <v>10</v>
      </c>
      <c r="E163" s="7">
        <f>IFERROR(VLOOKUP(A163, PriceTable!$A$1:$B$45, 2, FALSE) * D163, 0)</f>
        <v>100000</v>
      </c>
    </row>
    <row r="164" spans="1:5" x14ac:dyDescent="0.3">
      <c r="A164" s="2" t="s">
        <v>12</v>
      </c>
      <c r="B164" s="3">
        <v>46067</v>
      </c>
      <c r="C164" t="str">
        <f t="shared" si="1"/>
        <v>Feb</v>
      </c>
      <c r="D164">
        <v>9</v>
      </c>
      <c r="E164" s="7">
        <v>90000</v>
      </c>
    </row>
    <row r="165" spans="1:5" x14ac:dyDescent="0.3">
      <c r="A165" s="2" t="s">
        <v>8</v>
      </c>
      <c r="B165" s="3">
        <v>46069</v>
      </c>
      <c r="C165" t="str">
        <f t="shared" si="1"/>
        <v>Feb</v>
      </c>
      <c r="D165">
        <v>3</v>
      </c>
      <c r="E165" s="7">
        <f>IFERROR(VLOOKUP(A165, PriceTable!$A$1:$B$45, 2, FALSE) * D165, 0)</f>
        <v>60000</v>
      </c>
    </row>
    <row r="166" spans="1:5" x14ac:dyDescent="0.3">
      <c r="A166" t="s">
        <v>49</v>
      </c>
      <c r="B166" s="3">
        <v>46069</v>
      </c>
      <c r="C166" t="str">
        <f t="shared" si="1"/>
        <v>Feb</v>
      </c>
      <c r="D166">
        <v>1</v>
      </c>
      <c r="E166" s="7">
        <f>IFERROR(VLOOKUP(A166, PriceTable!$A$1:$B$45, 2, FALSE) * D166, 0)</f>
        <v>7000</v>
      </c>
    </row>
    <row r="167" spans="1:5" x14ac:dyDescent="0.3">
      <c r="A167" t="s">
        <v>59</v>
      </c>
      <c r="B167" s="3">
        <v>46069</v>
      </c>
      <c r="C167" t="str">
        <f t="shared" si="1"/>
        <v>Feb</v>
      </c>
      <c r="D167">
        <v>4</v>
      </c>
      <c r="E167" s="7">
        <f>IFERROR(VLOOKUP(A167, PriceTable!$A$1:$B$45, 2, FALSE) * D167, 0)</f>
        <v>40000</v>
      </c>
    </row>
    <row r="168" spans="1:5" x14ac:dyDescent="0.3">
      <c r="A168" s="2" t="s">
        <v>76</v>
      </c>
      <c r="B168" s="3">
        <v>46069</v>
      </c>
      <c r="C168" t="str">
        <f t="shared" si="1"/>
        <v>Feb</v>
      </c>
      <c r="D168">
        <v>3</v>
      </c>
      <c r="E168" s="7">
        <f>IFERROR(VLOOKUP(A168, PriceTable!$A$1:$B$45, 2, FALSE) * D168, 0)</f>
        <v>15000</v>
      </c>
    </row>
    <row r="169" spans="1:5" x14ac:dyDescent="0.3">
      <c r="A169" s="2" t="s">
        <v>83</v>
      </c>
      <c r="B169" s="3">
        <v>46069</v>
      </c>
      <c r="C169" t="str">
        <f t="shared" si="1"/>
        <v>Feb</v>
      </c>
      <c r="D169">
        <v>1</v>
      </c>
      <c r="E169" s="7">
        <v>69000</v>
      </c>
    </row>
    <row r="170" spans="1:5" x14ac:dyDescent="0.3">
      <c r="A170" t="s">
        <v>5</v>
      </c>
      <c r="B170" s="3">
        <v>46070</v>
      </c>
      <c r="C170" t="str">
        <f t="shared" si="1"/>
        <v>Feb</v>
      </c>
      <c r="D170">
        <v>1</v>
      </c>
      <c r="E170" s="7">
        <f>IFERROR(VLOOKUP(A170, PriceTable!$A$1:$B$45, 2, FALSE) * D170, 0)</f>
        <v>10000</v>
      </c>
    </row>
    <row r="171" spans="1:5" x14ac:dyDescent="0.3">
      <c r="A171" s="2" t="s">
        <v>8</v>
      </c>
      <c r="B171" s="3">
        <v>46070</v>
      </c>
      <c r="C171" t="str">
        <f t="shared" si="1"/>
        <v>Feb</v>
      </c>
      <c r="D171">
        <v>2</v>
      </c>
      <c r="E171" s="7">
        <f>IFERROR(VLOOKUP(A171, PriceTable!$A$1:$B$45, 2, FALSE) * D171, 0)</f>
        <v>40000</v>
      </c>
    </row>
    <row r="172" spans="1:5" x14ac:dyDescent="0.3">
      <c r="A172" t="s">
        <v>59</v>
      </c>
      <c r="B172" s="3">
        <v>46070</v>
      </c>
      <c r="C172" t="str">
        <f t="shared" si="1"/>
        <v>Feb</v>
      </c>
      <c r="D172">
        <v>1</v>
      </c>
      <c r="E172" s="7">
        <f>IFERROR(VLOOKUP(A172, PriceTable!$A$1:$B$45, 2, FALSE) * D172, 0)</f>
        <v>10000</v>
      </c>
    </row>
    <row r="173" spans="1:5" x14ac:dyDescent="0.3">
      <c r="A173" s="2" t="s">
        <v>3</v>
      </c>
      <c r="B173" s="3">
        <v>46070</v>
      </c>
      <c r="C173" t="str">
        <f t="shared" si="1"/>
        <v>Feb</v>
      </c>
      <c r="D173">
        <v>1</v>
      </c>
      <c r="E173" s="7">
        <f>IFERROR(VLOOKUP(A173, PriceTable!$A$1:$B$45, 2, FALSE) * D173, 0)</f>
        <v>35000</v>
      </c>
    </row>
    <row r="174" spans="1:5" x14ac:dyDescent="0.3">
      <c r="A174" t="s">
        <v>84</v>
      </c>
      <c r="B174" s="3">
        <v>46070</v>
      </c>
      <c r="C174" t="str">
        <f t="shared" si="1"/>
        <v>Feb</v>
      </c>
      <c r="D174">
        <v>1</v>
      </c>
      <c r="E174" s="7">
        <v>43000</v>
      </c>
    </row>
    <row r="175" spans="1:5" x14ac:dyDescent="0.3">
      <c r="A175" s="2" t="s">
        <v>21</v>
      </c>
      <c r="B175" s="3">
        <v>46071</v>
      </c>
      <c r="C175" t="str">
        <f t="shared" si="1"/>
        <v>Feb</v>
      </c>
      <c r="D175">
        <v>2</v>
      </c>
      <c r="E175" s="7">
        <f>IFERROR(VLOOKUP(A175, PriceTable!$A$1:$B$45, 2, FALSE) * D175, 0)</f>
        <v>40000</v>
      </c>
    </row>
    <row r="176" spans="1:5" x14ac:dyDescent="0.3">
      <c r="A176" s="2" t="s">
        <v>8</v>
      </c>
      <c r="B176" s="3">
        <v>46071</v>
      </c>
      <c r="C176" t="str">
        <f t="shared" si="1"/>
        <v>Feb</v>
      </c>
      <c r="D176">
        <v>1</v>
      </c>
      <c r="E176" s="7">
        <f>IFERROR(VLOOKUP(A176, PriceTable!$A$1:$B$45, 2, FALSE) * D176, 0)</f>
        <v>20000</v>
      </c>
    </row>
    <row r="177" spans="1:5" x14ac:dyDescent="0.3">
      <c r="A177" s="2" t="s">
        <v>6</v>
      </c>
      <c r="B177" s="3">
        <v>46071</v>
      </c>
      <c r="C177" t="str">
        <f t="shared" si="1"/>
        <v>Feb</v>
      </c>
      <c r="D177">
        <v>3</v>
      </c>
      <c r="E177" s="7">
        <f>IFERROR(VLOOKUP(A177, PriceTable!$A$1:$B$45, 2, FALSE) * D177, 0)</f>
        <v>30000</v>
      </c>
    </row>
    <row r="178" spans="1:5" x14ac:dyDescent="0.3">
      <c r="A178" s="2" t="s">
        <v>24</v>
      </c>
      <c r="B178" s="3">
        <v>46071</v>
      </c>
      <c r="C178" t="str">
        <f t="shared" si="1"/>
        <v>Feb</v>
      </c>
      <c r="D178">
        <v>1</v>
      </c>
      <c r="E178" s="7">
        <f>IFERROR(VLOOKUP(A178, PriceTable!$A$1:$B$45, 2, FALSE) * D178, 0)</f>
        <v>35000</v>
      </c>
    </row>
    <row r="179" spans="1:5" x14ac:dyDescent="0.3">
      <c r="A179" s="2" t="s">
        <v>3</v>
      </c>
      <c r="B179" s="3">
        <v>46071</v>
      </c>
      <c r="C179" t="str">
        <f t="shared" si="1"/>
        <v>Feb</v>
      </c>
      <c r="D179">
        <v>1</v>
      </c>
      <c r="E179" s="7">
        <f>IFERROR(VLOOKUP(A179, PriceTable!$A$1:$B$45, 2, FALSE) * D179, 0)</f>
        <v>35000</v>
      </c>
    </row>
    <row r="180" spans="1:5" x14ac:dyDescent="0.3">
      <c r="A180" s="2" t="s">
        <v>8</v>
      </c>
      <c r="B180" s="3">
        <v>46072</v>
      </c>
      <c r="C180" t="str">
        <f t="shared" si="1"/>
        <v>Feb</v>
      </c>
      <c r="D180">
        <v>1</v>
      </c>
      <c r="E180" s="7">
        <f>IFERROR(VLOOKUP(A180, PriceTable!$A$1:$B$45, 2, FALSE) * D180, 0)</f>
        <v>20000</v>
      </c>
    </row>
    <row r="181" spans="1:5" x14ac:dyDescent="0.3">
      <c r="A181" t="s">
        <v>59</v>
      </c>
      <c r="B181" s="3">
        <v>46072</v>
      </c>
      <c r="C181" t="str">
        <f t="shared" si="1"/>
        <v>Feb</v>
      </c>
      <c r="D181">
        <v>1</v>
      </c>
      <c r="E181" s="7">
        <f>IFERROR(VLOOKUP(A181, PriceTable!$A$1:$B$45, 2, FALSE) * D181, 0)</f>
        <v>10000</v>
      </c>
    </row>
    <row r="182" spans="1:5" x14ac:dyDescent="0.3">
      <c r="A182" s="2" t="s">
        <v>8</v>
      </c>
      <c r="B182" s="3">
        <v>46073</v>
      </c>
      <c r="C182" t="str">
        <f t="shared" si="1"/>
        <v>Feb</v>
      </c>
      <c r="D182">
        <v>1</v>
      </c>
      <c r="E182" s="7">
        <f>IFERROR(VLOOKUP(A182, PriceTable!$A$1:$B$45, 2, FALSE) * D182, 0)</f>
        <v>20000</v>
      </c>
    </row>
    <row r="183" spans="1:5" x14ac:dyDescent="0.3">
      <c r="A183" t="s">
        <v>5</v>
      </c>
      <c r="B183" s="3">
        <v>46073</v>
      </c>
      <c r="C183" t="str">
        <f t="shared" si="1"/>
        <v>Feb</v>
      </c>
      <c r="D183">
        <v>4</v>
      </c>
      <c r="E183" s="7">
        <f>IFERROR(VLOOKUP(A183, PriceTable!$A$1:$B$45, 2, FALSE) * D183, 0)</f>
        <v>40000</v>
      </c>
    </row>
    <row r="184" spans="1:5" x14ac:dyDescent="0.3">
      <c r="A184" s="2" t="s">
        <v>59</v>
      </c>
      <c r="B184" s="3">
        <v>46073</v>
      </c>
      <c r="C184" t="str">
        <f t="shared" si="1"/>
        <v>Feb</v>
      </c>
      <c r="D184">
        <v>2</v>
      </c>
      <c r="E184" s="7">
        <f>IFERROR(VLOOKUP(A184, PriceTable!$A$1:$B$45, 2, FALSE) * D184, 0)</f>
        <v>20000</v>
      </c>
    </row>
    <row r="185" spans="1:5" x14ac:dyDescent="0.3">
      <c r="A185" t="s">
        <v>12</v>
      </c>
      <c r="B185" s="3">
        <v>46073</v>
      </c>
      <c r="C185" t="str">
        <f t="shared" si="1"/>
        <v>Feb</v>
      </c>
      <c r="D185">
        <v>2</v>
      </c>
      <c r="E185" s="7">
        <f>IFERROR(VLOOKUP(A185, PriceTable!$A$1:$B$45, 2, FALSE) * D185, 0)</f>
        <v>24000</v>
      </c>
    </row>
    <row r="186" spans="1:5" x14ac:dyDescent="0.3">
      <c r="A186" s="2" t="s">
        <v>62</v>
      </c>
      <c r="B186" s="3">
        <v>46073</v>
      </c>
      <c r="C186" t="str">
        <f t="shared" si="1"/>
        <v>Feb</v>
      </c>
      <c r="D186">
        <v>1</v>
      </c>
      <c r="E186" s="7">
        <f>IFERROR(VLOOKUP(A186, PriceTable!$A$1:$B$45, 2, FALSE) * D186, 0)</f>
        <v>10000</v>
      </c>
    </row>
    <row r="187" spans="1:5" x14ac:dyDescent="0.3">
      <c r="A187" s="2" t="s">
        <v>13</v>
      </c>
      <c r="B187" s="3">
        <v>46073</v>
      </c>
      <c r="C187" t="str">
        <f t="shared" si="1"/>
        <v>Feb</v>
      </c>
      <c r="D187">
        <v>1</v>
      </c>
      <c r="E187" s="7">
        <f>IFERROR(VLOOKUP(A187, PriceTable!$A$1:$B$45, 2, FALSE) * D187, 0)</f>
        <v>25000</v>
      </c>
    </row>
    <row r="188" spans="1:5" x14ac:dyDescent="0.3">
      <c r="A188" s="2" t="s">
        <v>63</v>
      </c>
      <c r="B188" s="3">
        <v>46073</v>
      </c>
      <c r="C188" t="str">
        <f t="shared" si="1"/>
        <v>Feb</v>
      </c>
      <c r="D188">
        <v>1</v>
      </c>
      <c r="E188" s="7">
        <v>69000</v>
      </c>
    </row>
    <row r="189" spans="1:5" x14ac:dyDescent="0.3">
      <c r="A189" s="2" t="s">
        <v>82</v>
      </c>
      <c r="B189" s="3">
        <v>46073</v>
      </c>
      <c r="C189" t="str">
        <f t="shared" si="1"/>
        <v>Feb</v>
      </c>
      <c r="D189">
        <v>1</v>
      </c>
      <c r="E189" s="7">
        <v>150000</v>
      </c>
    </row>
    <row r="190" spans="1:5" x14ac:dyDescent="0.3">
      <c r="A190" s="2" t="s">
        <v>24</v>
      </c>
      <c r="B190" s="3">
        <v>46073</v>
      </c>
      <c r="C190" t="str">
        <f t="shared" si="1"/>
        <v>Feb</v>
      </c>
      <c r="D190">
        <v>2</v>
      </c>
      <c r="E190" s="7">
        <f>IFERROR(VLOOKUP(A190, PriceTable!$A$1:$B$45, 2, FALSE) * D190, 0)</f>
        <v>70000</v>
      </c>
    </row>
    <row r="191" spans="1:5" x14ac:dyDescent="0.3">
      <c r="A191" s="2" t="s">
        <v>62</v>
      </c>
      <c r="B191" s="3">
        <v>46074</v>
      </c>
      <c r="C191" t="str">
        <f t="shared" si="1"/>
        <v>Feb</v>
      </c>
      <c r="D191">
        <v>1</v>
      </c>
      <c r="E191" s="7">
        <f>IFERROR(VLOOKUP(A191, PriceTable!$A$1:$B$45, 2, FALSE) * D191, 0)</f>
        <v>10000</v>
      </c>
    </row>
    <row r="192" spans="1:5" x14ac:dyDescent="0.3">
      <c r="A192" s="2" t="s">
        <v>12</v>
      </c>
      <c r="B192" s="3">
        <v>46074</v>
      </c>
      <c r="C192" t="str">
        <f t="shared" si="1"/>
        <v>Feb</v>
      </c>
      <c r="D192">
        <v>3</v>
      </c>
      <c r="E192" s="7">
        <f>IFERROR(VLOOKUP(A192, PriceTable!$A$1:$B$45, 2, FALSE) * D192, 0)</f>
        <v>36000</v>
      </c>
    </row>
    <row r="193" spans="1:5" x14ac:dyDescent="0.3">
      <c r="A193" s="2" t="s">
        <v>85</v>
      </c>
      <c r="B193" s="3">
        <v>46076</v>
      </c>
      <c r="C193" t="str">
        <f t="shared" si="1"/>
        <v>Feb</v>
      </c>
      <c r="D193">
        <v>2</v>
      </c>
      <c r="E193" s="7">
        <f>IFERROR(VLOOKUP(A193, PriceTable!$A$1:$B$45, 2, FALSE) * D193, 0)</f>
        <v>60000</v>
      </c>
    </row>
    <row r="194" spans="1:5" x14ac:dyDescent="0.3">
      <c r="A194" s="2" t="s">
        <v>8</v>
      </c>
      <c r="B194" s="3">
        <v>46076</v>
      </c>
      <c r="C194" t="str">
        <f t="shared" si="1"/>
        <v>Feb</v>
      </c>
      <c r="D194">
        <v>1</v>
      </c>
      <c r="E194" s="7">
        <f>IFERROR(VLOOKUP(A194, PriceTable!$A$1:$B$45, 2, FALSE) * D194, 0)</f>
        <v>20000</v>
      </c>
    </row>
    <row r="195" spans="1:5" x14ac:dyDescent="0.3">
      <c r="A195" t="s">
        <v>49</v>
      </c>
      <c r="B195" s="3">
        <v>46076</v>
      </c>
      <c r="C195" t="str">
        <f t="shared" si="1"/>
        <v>Feb</v>
      </c>
      <c r="D195">
        <v>1</v>
      </c>
      <c r="E195" s="7">
        <f>IFERROR(VLOOKUP(A195, PriceTable!$A$1:$B$45, 2, FALSE) * D195, 0)</f>
        <v>7000</v>
      </c>
    </row>
    <row r="196" spans="1:5" x14ac:dyDescent="0.3">
      <c r="A196" s="2" t="s">
        <v>12</v>
      </c>
      <c r="B196" s="3">
        <v>46076</v>
      </c>
      <c r="C196" t="str">
        <f t="shared" si="1"/>
        <v>Feb</v>
      </c>
      <c r="D196">
        <v>1</v>
      </c>
      <c r="E196" s="7">
        <f>IFERROR(VLOOKUP(A196, PriceTable!$A$1:$B$45, 2, FALSE) * D196, 0)</f>
        <v>12000</v>
      </c>
    </row>
    <row r="197" spans="1:5" x14ac:dyDescent="0.3">
      <c r="A197" s="2" t="s">
        <v>32</v>
      </c>
      <c r="B197" s="3">
        <v>46076</v>
      </c>
      <c r="C197" t="str">
        <f t="shared" si="1"/>
        <v>Feb</v>
      </c>
      <c r="D197">
        <v>2</v>
      </c>
      <c r="E197" s="7">
        <v>10000</v>
      </c>
    </row>
    <row r="198" spans="1:5" x14ac:dyDescent="0.3">
      <c r="A198" t="s">
        <v>59</v>
      </c>
      <c r="B198" s="3">
        <v>46076</v>
      </c>
      <c r="C198" t="str">
        <f t="shared" si="1"/>
        <v>Feb</v>
      </c>
      <c r="D198">
        <v>1</v>
      </c>
      <c r="E198" s="7">
        <f>IFERROR(VLOOKUP(A198, PriceTable!$A$1:$B$45, 2, FALSE) * D198, 0)</f>
        <v>10000</v>
      </c>
    </row>
    <row r="199" spans="1:5" x14ac:dyDescent="0.3">
      <c r="A199" s="2" t="s">
        <v>79</v>
      </c>
      <c r="B199" s="3">
        <v>46077</v>
      </c>
      <c r="C199" t="str">
        <f t="shared" si="1"/>
        <v>Feb</v>
      </c>
      <c r="D199">
        <v>1</v>
      </c>
      <c r="E199" s="7">
        <f>IFERROR(VLOOKUP(A199, PriceTable!$A$1:$B$45, 2, FALSE) * D199, 0)</f>
        <v>10000</v>
      </c>
    </row>
    <row r="200" spans="1:5" x14ac:dyDescent="0.3">
      <c r="A200" s="2" t="s">
        <v>24</v>
      </c>
      <c r="B200" s="3">
        <v>46077</v>
      </c>
      <c r="C200" t="str">
        <f t="shared" si="1"/>
        <v>Feb</v>
      </c>
      <c r="D200">
        <v>2</v>
      </c>
      <c r="E200" s="7">
        <f>IFERROR(VLOOKUP(A200, PriceTable!$A$1:$B$45, 2, FALSE) * D200, 0)</f>
        <v>70000</v>
      </c>
    </row>
    <row r="201" spans="1:5" x14ac:dyDescent="0.3">
      <c r="A201" t="s">
        <v>59</v>
      </c>
      <c r="B201" s="3">
        <v>46077</v>
      </c>
      <c r="C201" t="str">
        <f t="shared" si="1"/>
        <v>Feb</v>
      </c>
      <c r="D201">
        <v>1</v>
      </c>
      <c r="E201" s="7">
        <f>IFERROR(VLOOKUP(A201, PriceTable!$A$1:$B$45, 2, FALSE) * D201, 0)</f>
        <v>10000</v>
      </c>
    </row>
    <row r="202" spans="1:5" x14ac:dyDescent="0.3">
      <c r="A202" t="s">
        <v>49</v>
      </c>
      <c r="B202" s="3">
        <v>46078</v>
      </c>
      <c r="C202" t="str">
        <f t="shared" si="1"/>
        <v>Feb</v>
      </c>
      <c r="D202">
        <v>2</v>
      </c>
      <c r="E202" s="7">
        <f>IFERROR(VLOOKUP(A202, PriceTable!$A$1:$B$45, 2, FALSE) * D202, 0)</f>
        <v>14000</v>
      </c>
    </row>
    <row r="203" spans="1:5" x14ac:dyDescent="0.3">
      <c r="A203" s="2" t="s">
        <v>3</v>
      </c>
      <c r="B203" s="3">
        <v>46078</v>
      </c>
      <c r="C203" t="str">
        <f t="shared" si="1"/>
        <v>Feb</v>
      </c>
      <c r="D203">
        <v>2</v>
      </c>
      <c r="E203" s="7">
        <f>IFERROR(VLOOKUP(A203, PriceTable!$A$1:$B$45, 2, FALSE) * D203, 0)</f>
        <v>70000</v>
      </c>
    </row>
    <row r="204" spans="1:5" x14ac:dyDescent="0.3">
      <c r="A204" t="s">
        <v>59</v>
      </c>
      <c r="B204" s="3">
        <v>46078</v>
      </c>
      <c r="C204" t="str">
        <f t="shared" si="1"/>
        <v>Feb</v>
      </c>
      <c r="D204">
        <v>2</v>
      </c>
      <c r="E204" s="7">
        <f>IFERROR(VLOOKUP(A204, PriceTable!$A$1:$B$45, 2, FALSE) * D204, 0)</f>
        <v>20000</v>
      </c>
    </row>
    <row r="205" spans="1:5" x14ac:dyDescent="0.3">
      <c r="A205" t="s">
        <v>12</v>
      </c>
      <c r="B205" s="3">
        <v>46078</v>
      </c>
      <c r="C205" t="str">
        <f t="shared" si="1"/>
        <v>Feb</v>
      </c>
      <c r="D205">
        <v>2</v>
      </c>
      <c r="E205" s="7">
        <f>IFERROR(VLOOKUP(A205, PriceTable!$A$1:$B$45, 2, FALSE) * D205, 0)</f>
        <v>24000</v>
      </c>
    </row>
    <row r="206" spans="1:5" x14ac:dyDescent="0.3">
      <c r="A206" s="2" t="s">
        <v>6</v>
      </c>
      <c r="B206" s="3">
        <v>46078</v>
      </c>
      <c r="C206" t="str">
        <f t="shared" si="1"/>
        <v>Feb</v>
      </c>
      <c r="D206">
        <v>1</v>
      </c>
      <c r="E206" s="7">
        <f>IFERROR(VLOOKUP(A206, PriceTable!$A$1:$B$45, 2, FALSE) * D206, 0)</f>
        <v>10000</v>
      </c>
    </row>
    <row r="207" spans="1:5" x14ac:dyDescent="0.3">
      <c r="A207" t="s">
        <v>62</v>
      </c>
      <c r="B207" s="3">
        <v>46078</v>
      </c>
      <c r="C207" t="str">
        <f t="shared" si="1"/>
        <v>Feb</v>
      </c>
      <c r="D207">
        <v>1</v>
      </c>
      <c r="E207" s="7">
        <f>IFERROR(VLOOKUP(A207, PriceTable!$A$1:$B$45, 2, FALSE) * D207, 0)</f>
        <v>10000</v>
      </c>
    </row>
    <row r="208" spans="1:5" x14ac:dyDescent="0.3">
      <c r="A208" t="s">
        <v>21</v>
      </c>
      <c r="B208" s="3">
        <v>46078</v>
      </c>
      <c r="C208" t="str">
        <f t="shared" si="1"/>
        <v>Feb</v>
      </c>
      <c r="D208">
        <v>1</v>
      </c>
      <c r="E208" s="7">
        <f>IFERROR(VLOOKUP(A208, PriceTable!$A$1:$B$45, 2, FALSE) * D208, 0)</f>
        <v>20000</v>
      </c>
    </row>
    <row r="209" spans="1:5" x14ac:dyDescent="0.3">
      <c r="A209" t="s">
        <v>5</v>
      </c>
      <c r="B209" s="3">
        <v>46079</v>
      </c>
      <c r="C209" t="str">
        <f t="shared" si="1"/>
        <v>Feb</v>
      </c>
      <c r="D209">
        <v>5</v>
      </c>
      <c r="E209" s="7">
        <f>IFERROR(VLOOKUP(A209, PriceTable!$A$1:$B$45, 2, FALSE) * D209, 0)</f>
        <v>50000</v>
      </c>
    </row>
    <row r="210" spans="1:5" x14ac:dyDescent="0.3">
      <c r="A210" t="s">
        <v>59</v>
      </c>
      <c r="B210" s="3">
        <v>46079</v>
      </c>
      <c r="C210" t="str">
        <f t="shared" si="1"/>
        <v>Feb</v>
      </c>
      <c r="D210">
        <v>1</v>
      </c>
      <c r="E210" s="7">
        <f>IFERROR(VLOOKUP(A210, PriceTable!$A$1:$B$45, 2, FALSE) * D210, 0)</f>
        <v>10000</v>
      </c>
    </row>
    <row r="211" spans="1:5" x14ac:dyDescent="0.3">
      <c r="A211" t="s">
        <v>12</v>
      </c>
      <c r="B211" s="3">
        <v>46079</v>
      </c>
      <c r="C211" t="str">
        <f t="shared" si="1"/>
        <v>Feb</v>
      </c>
      <c r="D211">
        <v>1</v>
      </c>
      <c r="E211" s="7">
        <f>IFERROR(VLOOKUP(A211, PriceTable!$A$1:$B$45, 2, FALSE) * D211, 0)</f>
        <v>12000</v>
      </c>
    </row>
    <row r="212" spans="1:5" x14ac:dyDescent="0.3">
      <c r="A212" s="2" t="s">
        <v>9</v>
      </c>
      <c r="B212" s="3">
        <v>46080</v>
      </c>
      <c r="C212" t="str">
        <f t="shared" si="1"/>
        <v>Feb</v>
      </c>
      <c r="D212">
        <v>1</v>
      </c>
      <c r="E212" s="7">
        <f>IFERROR(VLOOKUP(A212, PriceTable!$A$1:$B$45, 2, FALSE) * D212, 0)</f>
        <v>60000</v>
      </c>
    </row>
    <row r="213" spans="1:5" x14ac:dyDescent="0.3">
      <c r="A213" t="s">
        <v>5</v>
      </c>
      <c r="B213" s="3">
        <v>46080</v>
      </c>
      <c r="C213" t="str">
        <f t="shared" si="1"/>
        <v>Feb</v>
      </c>
      <c r="D213">
        <v>2</v>
      </c>
      <c r="E213" s="7">
        <f>IFERROR(VLOOKUP(A213, PriceTable!$A$1:$B$45, 2, FALSE) * D213, 0)</f>
        <v>20000</v>
      </c>
    </row>
    <row r="214" spans="1:5" x14ac:dyDescent="0.3">
      <c r="A214" s="2" t="s">
        <v>6</v>
      </c>
      <c r="B214" s="3">
        <v>46080</v>
      </c>
      <c r="C214" t="str">
        <f t="shared" si="1"/>
        <v>Feb</v>
      </c>
      <c r="D214">
        <v>1</v>
      </c>
      <c r="E214" s="7">
        <f>IFERROR(VLOOKUP(A214, PriceTable!$A$1:$B$45, 2, FALSE) * D214, 0)</f>
        <v>10000</v>
      </c>
    </row>
    <row r="215" spans="1:5" x14ac:dyDescent="0.3">
      <c r="A215" t="s">
        <v>79</v>
      </c>
      <c r="B215" s="3">
        <v>46080</v>
      </c>
      <c r="C215" t="str">
        <f t="shared" si="1"/>
        <v>Feb</v>
      </c>
      <c r="D215">
        <v>1</v>
      </c>
      <c r="E215" s="7">
        <f>IFERROR(VLOOKUP(A215, PriceTable!$A$1:$B$45, 2, FALSE) * D215, 0)</f>
        <v>10000</v>
      </c>
    </row>
    <row r="216" spans="1:5" x14ac:dyDescent="0.3">
      <c r="A216" t="s">
        <v>59</v>
      </c>
      <c r="B216" s="3">
        <v>46080</v>
      </c>
      <c r="C216" t="str">
        <f t="shared" si="1"/>
        <v>Feb</v>
      </c>
      <c r="D216">
        <v>1</v>
      </c>
      <c r="E216" s="7">
        <f>IFERROR(VLOOKUP(A216, PriceTable!$A$1:$B$45, 2, FALSE) * D216, 0)</f>
        <v>10000</v>
      </c>
    </row>
    <row r="217" spans="1:5" x14ac:dyDescent="0.3">
      <c r="A217" t="s">
        <v>31</v>
      </c>
      <c r="B217" s="3">
        <v>46080</v>
      </c>
      <c r="C217" t="str">
        <f t="shared" si="1"/>
        <v>Feb</v>
      </c>
      <c r="D217">
        <v>1</v>
      </c>
      <c r="E217" s="7">
        <f>IFERROR(VLOOKUP(A217, PriceTable!$A$1:$B$45, 2, FALSE) * D217, 0)</f>
        <v>20000</v>
      </c>
    </row>
    <row r="218" spans="1:5" x14ac:dyDescent="0.3">
      <c r="A218" t="s">
        <v>12</v>
      </c>
      <c r="B218" s="3">
        <v>46080</v>
      </c>
      <c r="C218" t="str">
        <f t="shared" si="1"/>
        <v>Feb</v>
      </c>
      <c r="D218">
        <v>3</v>
      </c>
      <c r="E218" s="7">
        <f>IFERROR(VLOOKUP(A218, PriceTable!$A$1:$B$45, 2, FALSE) * D218, 0)</f>
        <v>36000</v>
      </c>
    </row>
    <row r="219" spans="1:5" x14ac:dyDescent="0.3">
      <c r="A219" t="s">
        <v>62</v>
      </c>
      <c r="B219" s="3">
        <v>46080</v>
      </c>
      <c r="C219" t="str">
        <f t="shared" si="1"/>
        <v>Feb</v>
      </c>
      <c r="D219">
        <v>1</v>
      </c>
      <c r="E219" s="7">
        <f>IFERROR(VLOOKUP(A219, PriceTable!$A$1:$B$45, 2, FALSE) * D219, 0)</f>
        <v>10000</v>
      </c>
    </row>
    <row r="220" spans="1:5" x14ac:dyDescent="0.3">
      <c r="A220" s="2" t="s">
        <v>13</v>
      </c>
      <c r="B220" s="3">
        <v>46080</v>
      </c>
      <c r="C220" t="str">
        <f t="shared" si="1"/>
        <v>Feb</v>
      </c>
      <c r="D220">
        <v>1</v>
      </c>
      <c r="E220" s="7">
        <f>IFERROR(VLOOKUP(A220, PriceTable!$A$1:$B$45, 2, FALSE) * D220, 0)</f>
        <v>25000</v>
      </c>
    </row>
    <row r="221" spans="1:5" x14ac:dyDescent="0.3">
      <c r="A221" t="s">
        <v>5</v>
      </c>
      <c r="B221" s="3">
        <v>46081</v>
      </c>
      <c r="C221" t="str">
        <f t="shared" si="1"/>
        <v>Feb</v>
      </c>
      <c r="D221">
        <v>4</v>
      </c>
      <c r="E221" s="7">
        <f>IFERROR(VLOOKUP(A221, PriceTable!$A$1:$B$45, 2, FALSE) * D221, 0)</f>
        <v>40000</v>
      </c>
    </row>
    <row r="222" spans="1:5" x14ac:dyDescent="0.3">
      <c r="A222" t="s">
        <v>59</v>
      </c>
      <c r="B222" s="3">
        <v>46081</v>
      </c>
      <c r="C222" t="str">
        <f t="shared" si="1"/>
        <v>Feb</v>
      </c>
      <c r="D222">
        <v>2</v>
      </c>
      <c r="E222" s="7">
        <f>IFERROR(VLOOKUP(A222, PriceTable!$A$1:$B$45, 2, FALSE) * D222, 0)</f>
        <v>20000</v>
      </c>
    </row>
    <row r="223" spans="1:5" x14ac:dyDescent="0.3">
      <c r="A223" s="2" t="s">
        <v>8</v>
      </c>
      <c r="B223" s="3">
        <v>46081</v>
      </c>
      <c r="C223" t="str">
        <f t="shared" si="1"/>
        <v>Feb</v>
      </c>
      <c r="D223">
        <v>2</v>
      </c>
      <c r="E223" s="7">
        <f>IFERROR(VLOOKUP(A223, PriceTable!$A$1:$B$45, 2, FALSE) * D223, 0)</f>
        <v>40000</v>
      </c>
    </row>
    <row r="224" spans="1:5" x14ac:dyDescent="0.3">
      <c r="A224" s="2" t="s">
        <v>13</v>
      </c>
      <c r="B224" s="3">
        <v>46081</v>
      </c>
      <c r="C224" t="str">
        <f t="shared" si="1"/>
        <v>Feb</v>
      </c>
      <c r="D224">
        <v>1</v>
      </c>
      <c r="E224" s="7">
        <f>IFERROR(VLOOKUP(A224, PriceTable!$A$1:$B$45, 2, FALSE) * D224, 0)</f>
        <v>25000</v>
      </c>
    </row>
    <row r="225" spans="1:5" x14ac:dyDescent="0.3">
      <c r="A225" s="2" t="s">
        <v>3</v>
      </c>
      <c r="B225" s="3">
        <v>46081</v>
      </c>
      <c r="C225" t="str">
        <f t="shared" si="1"/>
        <v>Feb</v>
      </c>
      <c r="D225">
        <v>1</v>
      </c>
      <c r="E225" s="7">
        <f>IFERROR(VLOOKUP(A225, PriceTable!$A$1:$B$45, 2, FALSE) * D225, 0)</f>
        <v>35000</v>
      </c>
    </row>
    <row r="226" spans="1:5" x14ac:dyDescent="0.3">
      <c r="A226" t="s">
        <v>49</v>
      </c>
      <c r="B226" s="3">
        <v>46081</v>
      </c>
      <c r="C226" t="str">
        <f t="shared" si="1"/>
        <v>Feb</v>
      </c>
      <c r="D226">
        <v>1</v>
      </c>
      <c r="E226" s="7">
        <f>IFERROR(VLOOKUP(A226, PriceTable!$A$1:$B$45, 2, FALSE) * D226, 0)</f>
        <v>7000</v>
      </c>
    </row>
    <row r="227" spans="1:5" x14ac:dyDescent="0.3">
      <c r="A227" s="2" t="s">
        <v>12</v>
      </c>
      <c r="B227" s="3">
        <v>46081</v>
      </c>
      <c r="C227" t="str">
        <f t="shared" si="1"/>
        <v>Feb</v>
      </c>
      <c r="D227">
        <v>1</v>
      </c>
      <c r="E227" s="7">
        <f>IFERROR(VLOOKUP(A227, PriceTable!$A$1:$B$45, 2, FALSE) * D227, 0)</f>
        <v>12000</v>
      </c>
    </row>
    <row r="228" spans="1:5" x14ac:dyDescent="0.3">
      <c r="A228" s="2" t="s">
        <v>8</v>
      </c>
      <c r="B228" s="3">
        <v>46083</v>
      </c>
      <c r="C228" t="str">
        <f t="shared" si="1"/>
        <v>Mar</v>
      </c>
      <c r="D228">
        <v>1</v>
      </c>
      <c r="E228" s="7">
        <f>IFERROR(VLOOKUP(A228, PriceTable!$A$1:$B$45, 2, FALSE) * D228, 0)</f>
        <v>20000</v>
      </c>
    </row>
    <row r="229" spans="1:5" x14ac:dyDescent="0.3">
      <c r="A229" s="2" t="s">
        <v>6</v>
      </c>
      <c r="B229" s="3">
        <v>46083</v>
      </c>
      <c r="C229" t="str">
        <f t="shared" si="1"/>
        <v>Mar</v>
      </c>
      <c r="D229">
        <v>1</v>
      </c>
      <c r="E229" s="7">
        <f>IFERROR(VLOOKUP(A229, PriceTable!$A$1:$B$45, 2, FALSE) * D229, 0)</f>
        <v>10000</v>
      </c>
    </row>
    <row r="230" spans="1:5" x14ac:dyDescent="0.3">
      <c r="A230" t="s">
        <v>62</v>
      </c>
      <c r="B230" s="3">
        <v>46083</v>
      </c>
      <c r="C230" t="str">
        <f t="shared" si="1"/>
        <v>Mar</v>
      </c>
      <c r="D230">
        <v>1</v>
      </c>
      <c r="E230" s="7">
        <f>IFERROR(VLOOKUP(A230, PriceTable!$A$1:$B$45, 2, FALSE) * D230, 0)</f>
        <v>10000</v>
      </c>
    </row>
    <row r="231" spans="1:5" x14ac:dyDescent="0.3">
      <c r="A231" s="2" t="s">
        <v>24</v>
      </c>
      <c r="B231" s="3">
        <v>46083</v>
      </c>
      <c r="C231" t="str">
        <f t="shared" si="1"/>
        <v>Mar</v>
      </c>
      <c r="D231">
        <v>1</v>
      </c>
      <c r="E231" s="7">
        <f>IFERROR(VLOOKUP(A231, PriceTable!$A$1:$B$45, 2, FALSE) * D231, 0)</f>
        <v>35000</v>
      </c>
    </row>
    <row r="232" spans="1:5" x14ac:dyDescent="0.3">
      <c r="A232" s="2" t="s">
        <v>89</v>
      </c>
      <c r="B232" s="3">
        <v>46084</v>
      </c>
      <c r="C232" t="str">
        <f t="shared" si="1"/>
        <v>Mar</v>
      </c>
      <c r="D232">
        <v>1</v>
      </c>
      <c r="E232" s="7">
        <v>10000</v>
      </c>
    </row>
    <row r="233" spans="1:5" x14ac:dyDescent="0.3">
      <c r="A233" t="s">
        <v>12</v>
      </c>
      <c r="B233" s="3">
        <v>46085</v>
      </c>
      <c r="C233" t="str">
        <f t="shared" ref="C233:C264" si="2">TEXT(B233, "mmm")</f>
        <v>Mar</v>
      </c>
      <c r="D233">
        <v>1</v>
      </c>
      <c r="E233" s="7">
        <f>IFERROR(VLOOKUP(A233, PriceTable!$A$1:$B$45, 2, FALSE) * D233, 0)</f>
        <v>12000</v>
      </c>
    </row>
    <row r="234" spans="1:5" x14ac:dyDescent="0.3">
      <c r="A234" t="s">
        <v>5</v>
      </c>
      <c r="B234" s="3">
        <v>46085</v>
      </c>
      <c r="C234" t="str">
        <f t="shared" si="2"/>
        <v>Mar</v>
      </c>
      <c r="D234">
        <v>1</v>
      </c>
      <c r="E234" s="7">
        <f>IFERROR(VLOOKUP(A234, PriceTable!$A$1:$B$45, 2, FALSE) * D234, 0)</f>
        <v>10000</v>
      </c>
    </row>
    <row r="235" spans="1:5" x14ac:dyDescent="0.3">
      <c r="A235" s="2" t="s">
        <v>24</v>
      </c>
      <c r="B235" s="3">
        <v>46085</v>
      </c>
      <c r="C235" t="str">
        <f t="shared" si="2"/>
        <v>Mar</v>
      </c>
      <c r="D235">
        <v>1</v>
      </c>
      <c r="E235" s="7">
        <f>IFERROR(VLOOKUP(A235, PriceTable!$A$1:$B$45, 2, FALSE) * D235, 0)</f>
        <v>35000</v>
      </c>
    </row>
    <row r="236" spans="1:5" x14ac:dyDescent="0.3">
      <c r="A236" s="2" t="s">
        <v>6</v>
      </c>
      <c r="B236" s="3">
        <v>46086</v>
      </c>
      <c r="C236" t="str">
        <f t="shared" si="2"/>
        <v>Mar</v>
      </c>
      <c r="D236">
        <v>1</v>
      </c>
      <c r="E236" s="7">
        <f>IFERROR(VLOOKUP(A236, PriceTable!$A$1:$B$45, 2, FALSE) * D236, 0)</f>
        <v>10000</v>
      </c>
    </row>
    <row r="237" spans="1:5" x14ac:dyDescent="0.3">
      <c r="A237" s="2" t="s">
        <v>89</v>
      </c>
      <c r="B237" s="3">
        <v>46087</v>
      </c>
      <c r="C237" t="str">
        <f t="shared" si="2"/>
        <v>Mar</v>
      </c>
      <c r="D237">
        <v>1</v>
      </c>
      <c r="E237" s="7">
        <v>10000</v>
      </c>
    </row>
    <row r="238" spans="1:5" x14ac:dyDescent="0.3">
      <c r="A238" t="s">
        <v>12</v>
      </c>
      <c r="B238" s="3">
        <v>46087</v>
      </c>
      <c r="C238" t="str">
        <f t="shared" si="2"/>
        <v>Mar</v>
      </c>
      <c r="D238">
        <v>5</v>
      </c>
      <c r="E238" s="7">
        <f>IFERROR(VLOOKUP(A238, PriceTable!$A$1:$B$45, 2, FALSE) * D238, 0)</f>
        <v>60000</v>
      </c>
    </row>
    <row r="239" spans="1:5" x14ac:dyDescent="0.3">
      <c r="A239" t="s">
        <v>62</v>
      </c>
      <c r="B239" s="3">
        <v>46087</v>
      </c>
      <c r="C239" t="str">
        <f t="shared" si="2"/>
        <v>Mar</v>
      </c>
      <c r="D239">
        <v>5</v>
      </c>
      <c r="E239" s="7">
        <f>IFERROR(VLOOKUP(A239, PriceTable!$A$1:$B$45, 2, FALSE) * D239, 0)</f>
        <v>50000</v>
      </c>
    </row>
    <row r="240" spans="1:5" x14ac:dyDescent="0.3">
      <c r="A240" s="2" t="s">
        <v>79</v>
      </c>
      <c r="B240" s="3">
        <v>46087</v>
      </c>
      <c r="C240" t="str">
        <f t="shared" si="2"/>
        <v>Mar</v>
      </c>
      <c r="D240">
        <v>2</v>
      </c>
      <c r="E240" s="7">
        <f>IFERROR(VLOOKUP(A240, PriceTable!$A$1:$B$45, 2, FALSE) * D240, 0)</f>
        <v>20000</v>
      </c>
    </row>
    <row r="241" spans="1:5" x14ac:dyDescent="0.3">
      <c r="A241" t="s">
        <v>5</v>
      </c>
      <c r="B241" s="3">
        <v>46087</v>
      </c>
      <c r="C241" t="str">
        <f t="shared" si="2"/>
        <v>Mar</v>
      </c>
      <c r="D241">
        <v>3</v>
      </c>
      <c r="E241" s="7">
        <f>IFERROR(VLOOKUP(A241, PriceTable!$A$1:$B$45, 2, FALSE) * D241, 0)</f>
        <v>30000</v>
      </c>
    </row>
    <row r="242" spans="1:5" x14ac:dyDescent="0.3">
      <c r="A242" s="2" t="s">
        <v>24</v>
      </c>
      <c r="B242" s="3">
        <v>46090</v>
      </c>
      <c r="C242" t="str">
        <f t="shared" si="2"/>
        <v>Mar</v>
      </c>
      <c r="D242">
        <v>2</v>
      </c>
      <c r="E242" s="7">
        <f>IFERROR(VLOOKUP(A242, PriceTable!$A$1:$B$45, 2, FALSE) * D242, 0)</f>
        <v>70000</v>
      </c>
    </row>
    <row r="243" spans="1:5" x14ac:dyDescent="0.3">
      <c r="A243" s="2" t="s">
        <v>8</v>
      </c>
      <c r="B243" s="3">
        <v>46090</v>
      </c>
      <c r="C243" t="str">
        <f t="shared" si="2"/>
        <v>Mar</v>
      </c>
      <c r="D243">
        <v>4</v>
      </c>
      <c r="E243" s="7">
        <f>IFERROR(VLOOKUP(A243, PriceTable!$A$1:$B$45, 2, FALSE) * D243, 0)</f>
        <v>80000</v>
      </c>
    </row>
    <row r="244" spans="1:5" x14ac:dyDescent="0.3">
      <c r="A244" t="s">
        <v>5</v>
      </c>
      <c r="B244" s="3">
        <v>46090</v>
      </c>
      <c r="C244" t="str">
        <f t="shared" si="2"/>
        <v>Mar</v>
      </c>
      <c r="D244">
        <v>3</v>
      </c>
      <c r="E244" s="7">
        <f>IFERROR(VLOOKUP(A244, PriceTable!$A$1:$B$45, 2, FALSE) * D244, 0)</f>
        <v>30000</v>
      </c>
    </row>
    <row r="245" spans="1:5" x14ac:dyDescent="0.3">
      <c r="A245" t="s">
        <v>12</v>
      </c>
      <c r="B245" s="3">
        <v>46090</v>
      </c>
      <c r="C245" t="str">
        <f t="shared" si="2"/>
        <v>Mar</v>
      </c>
      <c r="D245">
        <v>5</v>
      </c>
      <c r="E245" s="7">
        <f>IFERROR(VLOOKUP(A245, PriceTable!$A$1:$B$45, 2, FALSE) * D245, 0)</f>
        <v>60000</v>
      </c>
    </row>
    <row r="246" spans="1:5" x14ac:dyDescent="0.3">
      <c r="A246" s="2" t="s">
        <v>33</v>
      </c>
      <c r="B246" s="3">
        <v>46090</v>
      </c>
      <c r="C246" t="str">
        <f t="shared" si="2"/>
        <v>Mar</v>
      </c>
      <c r="D246">
        <v>2</v>
      </c>
      <c r="E246" s="7">
        <f>IFERROR(VLOOKUP(A246, PriceTable!$A$1:$B$45, 2, FALSE) * D246, 0)</f>
        <v>110000</v>
      </c>
    </row>
    <row r="247" spans="1:5" x14ac:dyDescent="0.3">
      <c r="A247" t="s">
        <v>62</v>
      </c>
      <c r="B247" s="3">
        <v>46090</v>
      </c>
      <c r="C247" t="str">
        <f t="shared" si="2"/>
        <v>Mar</v>
      </c>
      <c r="D247">
        <v>4</v>
      </c>
      <c r="E247" s="7">
        <f>IFERROR(VLOOKUP(A247, PriceTable!$A$1:$B$45, 2, FALSE) * D247, 0)</f>
        <v>40000</v>
      </c>
    </row>
    <row r="248" spans="1:5" x14ac:dyDescent="0.3">
      <c r="A248" s="2" t="s">
        <v>13</v>
      </c>
      <c r="B248" s="3">
        <v>46090</v>
      </c>
      <c r="C248" t="str">
        <f t="shared" si="2"/>
        <v>Mar</v>
      </c>
      <c r="D248">
        <v>1</v>
      </c>
      <c r="E248" s="7">
        <f>IFERROR(VLOOKUP(A248, PriceTable!$A$1:$B$45, 2, FALSE) * D248, 0)</f>
        <v>25000</v>
      </c>
    </row>
    <row r="249" spans="1:5" x14ac:dyDescent="0.3">
      <c r="A249" t="s">
        <v>59</v>
      </c>
      <c r="B249" s="3">
        <v>46091</v>
      </c>
      <c r="C249" t="str">
        <f t="shared" si="2"/>
        <v>Mar</v>
      </c>
      <c r="D249">
        <v>4</v>
      </c>
      <c r="E249" s="7">
        <f>IFERROR(VLOOKUP(A249, PriceTable!$A$1:$B$45, 2, FALSE) * D249, 0)</f>
        <v>40000</v>
      </c>
    </row>
    <row r="250" spans="1:5" x14ac:dyDescent="0.3">
      <c r="A250" s="2" t="s">
        <v>26</v>
      </c>
      <c r="B250" s="3">
        <v>46091</v>
      </c>
      <c r="C250" t="str">
        <f t="shared" si="2"/>
        <v>Mar</v>
      </c>
      <c r="D250">
        <v>1</v>
      </c>
      <c r="E250" s="7">
        <v>20000</v>
      </c>
    </row>
    <row r="251" spans="1:5" x14ac:dyDescent="0.3">
      <c r="A251" t="s">
        <v>62</v>
      </c>
      <c r="B251" s="3">
        <v>46091</v>
      </c>
      <c r="C251" t="str">
        <f t="shared" si="2"/>
        <v>Mar</v>
      </c>
      <c r="D251">
        <v>1</v>
      </c>
      <c r="E251" s="7">
        <f>IFERROR(VLOOKUP(A251, PriceTable!$A$1:$B$45, 2, FALSE) * D251, 0)</f>
        <v>10000</v>
      </c>
    </row>
    <row r="252" spans="1:5" x14ac:dyDescent="0.3">
      <c r="A252" t="s">
        <v>12</v>
      </c>
      <c r="B252" s="3">
        <v>46091</v>
      </c>
      <c r="C252" t="str">
        <f t="shared" si="2"/>
        <v>Mar</v>
      </c>
      <c r="D252">
        <v>1</v>
      </c>
      <c r="E252" s="7">
        <f>IFERROR(VLOOKUP(A252, PriceTable!$A$1:$B$45, 2, FALSE) * D252, 0)</f>
        <v>12000</v>
      </c>
    </row>
    <row r="253" spans="1:5" x14ac:dyDescent="0.3">
      <c r="A253" s="2" t="s">
        <v>24</v>
      </c>
      <c r="B253" s="3">
        <v>46093</v>
      </c>
      <c r="C253" t="str">
        <f t="shared" si="2"/>
        <v>Mar</v>
      </c>
      <c r="D253">
        <v>2</v>
      </c>
      <c r="E253" s="7">
        <f>IFERROR(VLOOKUP(A253, PriceTable!$A$1:$B$45, 2, FALSE) * D253, 0)</f>
        <v>70000</v>
      </c>
    </row>
    <row r="254" spans="1:5" x14ac:dyDescent="0.3">
      <c r="A254" t="s">
        <v>59</v>
      </c>
      <c r="B254" s="3">
        <v>46093</v>
      </c>
      <c r="C254" t="str">
        <f t="shared" si="2"/>
        <v>Mar</v>
      </c>
      <c r="D254">
        <v>1</v>
      </c>
      <c r="E254" s="7">
        <f>IFERROR(VLOOKUP(A254, PriceTable!$A$1:$B$45, 2, FALSE) * D254, 0)</f>
        <v>10000</v>
      </c>
    </row>
    <row r="255" spans="1:5" x14ac:dyDescent="0.3">
      <c r="A255" t="s">
        <v>62</v>
      </c>
      <c r="B255" s="3">
        <v>46093</v>
      </c>
      <c r="C255" t="str">
        <f t="shared" si="2"/>
        <v>Mar</v>
      </c>
      <c r="D255">
        <v>2</v>
      </c>
      <c r="E255" s="7">
        <f>IFERROR(VLOOKUP(A255, PriceTable!$A$1:$B$45, 2, FALSE) * D255, 0)</f>
        <v>20000</v>
      </c>
    </row>
    <row r="256" spans="1:5" x14ac:dyDescent="0.3">
      <c r="A256" t="s">
        <v>12</v>
      </c>
      <c r="B256" s="3">
        <v>46093</v>
      </c>
      <c r="C256" t="str">
        <f t="shared" si="2"/>
        <v>Mar</v>
      </c>
      <c r="D256">
        <v>2</v>
      </c>
      <c r="E256" s="7">
        <f>IFERROR(VLOOKUP(A256, PriceTable!$A$1:$B$45, 2, FALSE) * D256, 0)</f>
        <v>24000</v>
      </c>
    </row>
    <row r="257" spans="1:5" x14ac:dyDescent="0.3">
      <c r="A257" t="s">
        <v>12</v>
      </c>
      <c r="B257" s="3">
        <v>46094</v>
      </c>
      <c r="C257" t="str">
        <f t="shared" si="2"/>
        <v>Mar</v>
      </c>
      <c r="D257">
        <v>1</v>
      </c>
      <c r="E257" s="7">
        <f>IFERROR(VLOOKUP(A257, PriceTable!$A$1:$B$45, 2, FALSE) * D257, 0)</f>
        <v>12000</v>
      </c>
    </row>
    <row r="258" spans="1:5" x14ac:dyDescent="0.3">
      <c r="A258" s="2" t="s">
        <v>13</v>
      </c>
      <c r="B258" s="3">
        <v>46094</v>
      </c>
      <c r="C258" t="str">
        <f t="shared" si="2"/>
        <v>Mar</v>
      </c>
      <c r="D258">
        <v>1</v>
      </c>
      <c r="E258" s="7">
        <f>IFERROR(VLOOKUP(A258, PriceTable!$A$1:$B$45, 2, FALSE) * D258, 0)</f>
        <v>25000</v>
      </c>
    </row>
    <row r="259" spans="1:5" x14ac:dyDescent="0.3">
      <c r="A259" t="s">
        <v>59</v>
      </c>
      <c r="B259" s="3">
        <v>46094</v>
      </c>
      <c r="C259" t="str">
        <f t="shared" si="2"/>
        <v>Mar</v>
      </c>
      <c r="D259">
        <v>1</v>
      </c>
      <c r="E259" s="7">
        <f>IFERROR(VLOOKUP(A259, PriceTable!$A$1:$B$45, 2, FALSE) * D259, 0)</f>
        <v>10000</v>
      </c>
    </row>
    <row r="260" spans="1:5" x14ac:dyDescent="0.3">
      <c r="A260" s="2" t="s">
        <v>8</v>
      </c>
      <c r="B260" s="3">
        <v>46095</v>
      </c>
      <c r="C260" t="str">
        <f t="shared" si="2"/>
        <v>Mar</v>
      </c>
      <c r="D260">
        <v>1</v>
      </c>
      <c r="E260" s="7">
        <f>IFERROR(VLOOKUP(A260, PriceTable!$A$1:$B$45, 2, FALSE) * D260, 0)</f>
        <v>20000</v>
      </c>
    </row>
    <row r="261" spans="1:5" x14ac:dyDescent="0.3">
      <c r="A261" t="s">
        <v>59</v>
      </c>
      <c r="B261" s="3">
        <v>46095</v>
      </c>
      <c r="C261" t="str">
        <f t="shared" si="2"/>
        <v>Mar</v>
      </c>
      <c r="D261">
        <v>2</v>
      </c>
      <c r="E261" s="7">
        <f>IFERROR(VLOOKUP(A261, PriceTable!$A$1:$B$45, 2, FALSE) * D261, 0)</f>
        <v>20000</v>
      </c>
    </row>
    <row r="262" spans="1:5" x14ac:dyDescent="0.3">
      <c r="A262" s="2" t="s">
        <v>89</v>
      </c>
      <c r="B262" s="3">
        <v>46095</v>
      </c>
      <c r="C262" t="str">
        <f t="shared" si="2"/>
        <v>Mar</v>
      </c>
      <c r="D262">
        <v>1</v>
      </c>
      <c r="E262" s="7">
        <v>10000</v>
      </c>
    </row>
    <row r="263" spans="1:5" x14ac:dyDescent="0.3">
      <c r="A263" t="s">
        <v>5</v>
      </c>
      <c r="B263" s="3">
        <v>46097</v>
      </c>
      <c r="C263" t="str">
        <f t="shared" si="2"/>
        <v>Mar</v>
      </c>
      <c r="D263">
        <v>6</v>
      </c>
      <c r="E263" s="7">
        <f>IFERROR(VLOOKUP(A263, PriceTable!$A$1:$B$45, 2, FALSE) * D263, 0)</f>
        <v>60000</v>
      </c>
    </row>
    <row r="264" spans="1:5" x14ac:dyDescent="0.3">
      <c r="A264" s="2" t="s">
        <v>24</v>
      </c>
      <c r="B264" s="3">
        <v>46098</v>
      </c>
      <c r="C264" t="str">
        <f t="shared" si="2"/>
        <v>Mar</v>
      </c>
      <c r="D264">
        <v>1</v>
      </c>
      <c r="E264" s="7">
        <f>IFERROR(VLOOKUP(A264, PriceTable!$A$1:$B$45, 2, FALSE) * D264, 0)</f>
        <v>35000</v>
      </c>
    </row>
    <row r="265" spans="1:5" x14ac:dyDescent="0.3">
      <c r="A265" t="s">
        <v>12</v>
      </c>
      <c r="B265" s="3">
        <v>46098</v>
      </c>
      <c r="C265" t="str">
        <f t="shared" ref="C265:C296" si="3">TEXT(B265, "mmm")</f>
        <v>Mar</v>
      </c>
      <c r="D265">
        <v>4</v>
      </c>
      <c r="E265" s="7">
        <f>IFERROR(VLOOKUP(A265, PriceTable!$A$1:$B$45, 2, FALSE) * D265, 0)</f>
        <v>48000</v>
      </c>
    </row>
    <row r="266" spans="1:5" x14ac:dyDescent="0.3">
      <c r="A266" t="s">
        <v>5</v>
      </c>
      <c r="B266" s="3">
        <v>46098</v>
      </c>
      <c r="C266" t="str">
        <f t="shared" si="3"/>
        <v>Mar</v>
      </c>
      <c r="D266">
        <v>6</v>
      </c>
      <c r="E266" s="7">
        <f>IFERROR(VLOOKUP(A266, PriceTable!$A$1:$B$45, 2, FALSE) * D266, 0)</f>
        <v>60000</v>
      </c>
    </row>
    <row r="267" spans="1:5" x14ac:dyDescent="0.3">
      <c r="A267" s="2" t="s">
        <v>13</v>
      </c>
      <c r="B267" s="3">
        <v>46098</v>
      </c>
      <c r="C267" t="str">
        <f t="shared" si="3"/>
        <v>Mar</v>
      </c>
      <c r="D267">
        <v>4</v>
      </c>
      <c r="E267" s="7">
        <f>IFERROR(VLOOKUP(A267, PriceTable!$A$1:$B$45, 2, FALSE) * D267, 0)</f>
        <v>100000</v>
      </c>
    </row>
    <row r="268" spans="1:5" x14ac:dyDescent="0.3">
      <c r="A268" t="s">
        <v>25</v>
      </c>
      <c r="B268" s="3">
        <v>46098</v>
      </c>
      <c r="C268" t="str">
        <f t="shared" si="3"/>
        <v>Mar</v>
      </c>
      <c r="D268">
        <v>1</v>
      </c>
      <c r="E268" s="7">
        <f>IFERROR(VLOOKUP(A268, PriceTable!$A$1:$B$45, 2, FALSE) * D268, 0)</f>
        <v>35000</v>
      </c>
    </row>
    <row r="269" spans="1:5" x14ac:dyDescent="0.3">
      <c r="A269" s="2" t="s">
        <v>3</v>
      </c>
      <c r="B269" s="3">
        <v>46098</v>
      </c>
      <c r="C269" t="str">
        <f t="shared" si="3"/>
        <v>Mar</v>
      </c>
      <c r="D269">
        <v>1</v>
      </c>
      <c r="E269" s="7">
        <f>IFERROR(VLOOKUP(A269, PriceTable!$A$1:$B$45, 2, FALSE) * D269, 0)</f>
        <v>35000</v>
      </c>
    </row>
    <row r="270" spans="1:5" x14ac:dyDescent="0.3">
      <c r="A270" t="s">
        <v>59</v>
      </c>
      <c r="B270" s="3">
        <v>46098</v>
      </c>
      <c r="C270" t="str">
        <f t="shared" si="3"/>
        <v>Mar</v>
      </c>
      <c r="D270">
        <v>1</v>
      </c>
      <c r="E270" s="7">
        <f>IFERROR(VLOOKUP(A270, PriceTable!$A$1:$B$45, 2, FALSE) * D270, 0)</f>
        <v>10000</v>
      </c>
    </row>
    <row r="271" spans="1:5" x14ac:dyDescent="0.3">
      <c r="A271" t="s">
        <v>62</v>
      </c>
      <c r="B271" s="3">
        <v>46098</v>
      </c>
      <c r="C271" t="str">
        <f t="shared" si="3"/>
        <v>Mar</v>
      </c>
      <c r="D271">
        <v>1</v>
      </c>
      <c r="E271" s="7">
        <f>IFERROR(VLOOKUP(A271, PriceTable!$A$1:$B$45, 2, FALSE) * D271, 0)</f>
        <v>10000</v>
      </c>
    </row>
    <row r="272" spans="1:5" x14ac:dyDescent="0.3">
      <c r="A272" s="2" t="s">
        <v>8</v>
      </c>
      <c r="B272" s="3">
        <v>46098</v>
      </c>
      <c r="C272" t="str">
        <f t="shared" si="3"/>
        <v>Mar</v>
      </c>
      <c r="D272">
        <v>2</v>
      </c>
      <c r="E272" s="7">
        <f>IFERROR(VLOOKUP(A272, PriceTable!$A$1:$B$45, 2, FALSE) * D272, 0)</f>
        <v>40000</v>
      </c>
    </row>
    <row r="273" spans="1:5" x14ac:dyDescent="0.3">
      <c r="A273" s="2" t="s">
        <v>14</v>
      </c>
      <c r="B273" s="3">
        <v>46098</v>
      </c>
      <c r="C273" t="str">
        <f t="shared" si="3"/>
        <v>Mar</v>
      </c>
      <c r="D273">
        <v>1</v>
      </c>
      <c r="E273" s="7">
        <f>IFERROR(VLOOKUP(A273, PriceTable!$A$1:$B$45, 2, FALSE) * D273, 0)</f>
        <v>15000</v>
      </c>
    </row>
    <row r="274" spans="1:5" x14ac:dyDescent="0.3">
      <c r="A274" s="2" t="s">
        <v>8</v>
      </c>
      <c r="B274" s="3">
        <v>46099</v>
      </c>
      <c r="C274" t="str">
        <f t="shared" si="3"/>
        <v>Mar</v>
      </c>
      <c r="D274">
        <v>1</v>
      </c>
      <c r="E274" s="7">
        <f>IFERROR(VLOOKUP(A274, PriceTable!$A$1:$B$45, 2, FALSE) * D274, 0)</f>
        <v>20000</v>
      </c>
    </row>
    <row r="275" spans="1:5" x14ac:dyDescent="0.3">
      <c r="A275" s="2" t="s">
        <v>24</v>
      </c>
      <c r="B275" s="3">
        <v>46100</v>
      </c>
      <c r="C275" t="str">
        <f t="shared" si="3"/>
        <v>Mar</v>
      </c>
      <c r="D275">
        <v>1</v>
      </c>
      <c r="E275" s="7">
        <f>IFERROR(VLOOKUP(A275, PriceTable!$A$1:$B$45, 2, FALSE) * D275, 0)</f>
        <v>35000</v>
      </c>
    </row>
    <row r="276" spans="1:5" x14ac:dyDescent="0.3">
      <c r="A276" t="s">
        <v>5</v>
      </c>
      <c r="B276" s="3">
        <v>46100</v>
      </c>
      <c r="C276" t="str">
        <f t="shared" si="3"/>
        <v>Mar</v>
      </c>
      <c r="D276">
        <v>1</v>
      </c>
      <c r="E276" s="7">
        <f>IFERROR(VLOOKUP(A276, PriceTable!$A$1:$B$45, 2, FALSE) * D276, 0)</f>
        <v>10000</v>
      </c>
    </row>
    <row r="277" spans="1:5" x14ac:dyDescent="0.3">
      <c r="A277" s="2" t="s">
        <v>90</v>
      </c>
      <c r="B277" s="3">
        <v>46100</v>
      </c>
      <c r="C277" t="str">
        <f t="shared" si="3"/>
        <v>Mar</v>
      </c>
      <c r="D277">
        <v>1</v>
      </c>
      <c r="E277" s="7">
        <v>10000</v>
      </c>
    </row>
    <row r="278" spans="1:5" x14ac:dyDescent="0.3">
      <c r="A278" s="2" t="s">
        <v>14</v>
      </c>
      <c r="B278" s="3">
        <v>46100</v>
      </c>
      <c r="C278" t="str">
        <f t="shared" si="3"/>
        <v>Mar</v>
      </c>
      <c r="D278">
        <v>1</v>
      </c>
      <c r="E278" s="7">
        <f>IFERROR(VLOOKUP(A278, PriceTable!$A$1:$B$45, 2, FALSE) * D278, 0)</f>
        <v>15000</v>
      </c>
    </row>
    <row r="279" spans="1:5" x14ac:dyDescent="0.3">
      <c r="A279" s="2" t="s">
        <v>31</v>
      </c>
      <c r="B279" s="3">
        <v>46101</v>
      </c>
      <c r="C279" t="str">
        <f t="shared" si="3"/>
        <v>Mar</v>
      </c>
      <c r="D279">
        <v>3</v>
      </c>
      <c r="E279" s="7">
        <f>IFERROR(VLOOKUP(A279, PriceTable!$A$1:$B$45, 2, FALSE) * D279, 0)</f>
        <v>60000</v>
      </c>
    </row>
    <row r="280" spans="1:5" x14ac:dyDescent="0.3">
      <c r="A280" t="s">
        <v>5</v>
      </c>
      <c r="B280" s="3">
        <v>46101</v>
      </c>
      <c r="C280" t="str">
        <f t="shared" si="3"/>
        <v>Mar</v>
      </c>
      <c r="D280">
        <v>1</v>
      </c>
      <c r="E280" s="7">
        <f>IFERROR(VLOOKUP(A280, PriceTable!$A$1:$B$45, 2, FALSE) * D280, 0)</f>
        <v>10000</v>
      </c>
    </row>
    <row r="281" spans="1:5" x14ac:dyDescent="0.3">
      <c r="A281" s="2" t="s">
        <v>8</v>
      </c>
      <c r="B281" s="3">
        <v>46101</v>
      </c>
      <c r="C281" t="str">
        <f t="shared" si="3"/>
        <v>Mar</v>
      </c>
      <c r="D281">
        <v>1</v>
      </c>
      <c r="E281" s="7">
        <f>IFERROR(VLOOKUP(A281, PriceTable!$A$1:$B$45, 2, FALSE) * D281, 0)</f>
        <v>20000</v>
      </c>
    </row>
    <row r="282" spans="1:5" x14ac:dyDescent="0.3">
      <c r="A282" s="2" t="s">
        <v>28</v>
      </c>
      <c r="B282" s="3">
        <v>46104</v>
      </c>
      <c r="C282" t="str">
        <f t="shared" si="3"/>
        <v>Mar</v>
      </c>
      <c r="D282">
        <v>4</v>
      </c>
      <c r="E282" s="7">
        <v>80000</v>
      </c>
    </row>
    <row r="283" spans="1:5" x14ac:dyDescent="0.3">
      <c r="A283" s="2" t="s">
        <v>9</v>
      </c>
      <c r="B283" s="3">
        <v>46104</v>
      </c>
      <c r="C283" t="str">
        <f t="shared" si="3"/>
        <v>Mar</v>
      </c>
      <c r="D283">
        <v>1</v>
      </c>
      <c r="E283" s="7">
        <f>IFERROR(VLOOKUP(A283, PriceTable!$A$1:$B$45, 2, FALSE) * D283, 0)</f>
        <v>60000</v>
      </c>
    </row>
    <row r="284" spans="1:5" x14ac:dyDescent="0.3">
      <c r="A284" s="2" t="s">
        <v>24</v>
      </c>
      <c r="B284" s="3">
        <v>46104</v>
      </c>
      <c r="C284" t="str">
        <f t="shared" si="3"/>
        <v>Mar</v>
      </c>
      <c r="D284">
        <v>2</v>
      </c>
      <c r="E284" s="7">
        <f>IFERROR(VLOOKUP(A284, PriceTable!$A$1:$B$45, 2, FALSE) * D284, 0)</f>
        <v>70000</v>
      </c>
    </row>
    <row r="285" spans="1:5" x14ac:dyDescent="0.3">
      <c r="A285" s="2" t="s">
        <v>79</v>
      </c>
      <c r="B285" s="3">
        <v>46104</v>
      </c>
      <c r="C285" t="str">
        <f t="shared" si="3"/>
        <v>Mar</v>
      </c>
      <c r="D285">
        <v>1</v>
      </c>
      <c r="E285" s="7">
        <f>IFERROR(VLOOKUP(A285, PriceTable!$A$1:$B$45, 2, FALSE) * D285, 0)</f>
        <v>10000</v>
      </c>
    </row>
    <row r="286" spans="1:5" x14ac:dyDescent="0.3">
      <c r="A286" t="s">
        <v>62</v>
      </c>
      <c r="B286" s="3">
        <v>46104</v>
      </c>
      <c r="C286" t="str">
        <f t="shared" si="3"/>
        <v>Mar</v>
      </c>
      <c r="D286">
        <v>1</v>
      </c>
      <c r="E286" s="7">
        <f>IFERROR(VLOOKUP(A286, PriceTable!$A$1:$B$45, 2, FALSE) * D286, 0)</f>
        <v>10000</v>
      </c>
    </row>
    <row r="287" spans="1:5" x14ac:dyDescent="0.3">
      <c r="A287" t="s">
        <v>25</v>
      </c>
      <c r="B287" s="3">
        <v>46104</v>
      </c>
      <c r="C287" t="str">
        <f t="shared" si="3"/>
        <v>Mar</v>
      </c>
      <c r="D287">
        <v>1</v>
      </c>
      <c r="E287" s="7">
        <v>40000</v>
      </c>
    </row>
    <row r="288" spans="1:5" x14ac:dyDescent="0.3">
      <c r="A288" s="2" t="s">
        <v>12</v>
      </c>
      <c r="B288" s="3">
        <v>46104</v>
      </c>
      <c r="C288" t="str">
        <f t="shared" si="3"/>
        <v>Mar</v>
      </c>
      <c r="D288">
        <v>1</v>
      </c>
      <c r="E288" s="7">
        <f>IFERROR(VLOOKUP(A288, PriceTable!$A$1:$B$45, 2, FALSE) * D288, 0)</f>
        <v>12000</v>
      </c>
    </row>
    <row r="289" spans="1:5" x14ac:dyDescent="0.3">
      <c r="A289" t="s">
        <v>5</v>
      </c>
      <c r="B289" s="3">
        <v>46104</v>
      </c>
      <c r="C289" t="str">
        <f t="shared" si="3"/>
        <v>Mar</v>
      </c>
      <c r="D289">
        <v>1</v>
      </c>
      <c r="E289" s="7">
        <f>IFERROR(VLOOKUP(A289, PriceTable!$A$1:$B$45, 2, FALSE) * D289, 0)</f>
        <v>10000</v>
      </c>
    </row>
    <row r="290" spans="1:5" x14ac:dyDescent="0.3">
      <c r="A290" t="s">
        <v>59</v>
      </c>
      <c r="B290" s="3">
        <v>46104</v>
      </c>
      <c r="C290" t="str">
        <f t="shared" si="3"/>
        <v>Mar</v>
      </c>
      <c r="D290">
        <v>1</v>
      </c>
      <c r="E290" s="7">
        <f>IFERROR(VLOOKUP(A290, PriceTable!$A$1:$B$45, 2, FALSE) * D290, 0)</f>
        <v>10000</v>
      </c>
    </row>
    <row r="291" spans="1:5" x14ac:dyDescent="0.3">
      <c r="A291" s="2" t="s">
        <v>12</v>
      </c>
      <c r="B291" s="3">
        <v>46105</v>
      </c>
      <c r="C291" t="str">
        <f t="shared" si="3"/>
        <v>Mar</v>
      </c>
      <c r="D291">
        <v>2</v>
      </c>
      <c r="E291" s="7">
        <f>IFERROR(VLOOKUP(A291, PriceTable!$A$1:$B$45, 2, FALSE) * D291, 0)</f>
        <v>24000</v>
      </c>
    </row>
    <row r="292" spans="1:5" x14ac:dyDescent="0.3">
      <c r="A292" s="2" t="s">
        <v>24</v>
      </c>
      <c r="B292" s="3">
        <v>46105</v>
      </c>
      <c r="C292" t="str">
        <f t="shared" si="3"/>
        <v>Mar</v>
      </c>
      <c r="D292">
        <v>2</v>
      </c>
      <c r="E292" s="7">
        <f>IFERROR(VLOOKUP(A292, PriceTable!$A$1:$B$45, 2, FALSE) * D292, 0)</f>
        <v>70000</v>
      </c>
    </row>
    <row r="293" spans="1:5" x14ac:dyDescent="0.3">
      <c r="A293" t="s">
        <v>59</v>
      </c>
      <c r="B293" s="3">
        <v>46105</v>
      </c>
      <c r="C293" t="str">
        <f t="shared" si="3"/>
        <v>Mar</v>
      </c>
      <c r="D293">
        <v>1</v>
      </c>
      <c r="E293" s="7">
        <f>IFERROR(VLOOKUP(A293, PriceTable!$A$1:$B$45, 2, FALSE) * D293, 0)</f>
        <v>10000</v>
      </c>
    </row>
    <row r="294" spans="1:5" x14ac:dyDescent="0.3">
      <c r="A294" t="s">
        <v>5</v>
      </c>
      <c r="B294" s="3">
        <v>46105</v>
      </c>
      <c r="C294" t="str">
        <f t="shared" si="3"/>
        <v>Mar</v>
      </c>
      <c r="D294">
        <v>1</v>
      </c>
      <c r="E294" s="7">
        <f>IFERROR(VLOOKUP(A294, PriceTable!$A$1:$B$45, 2, FALSE) * D294, 0)</f>
        <v>10000</v>
      </c>
    </row>
    <row r="295" spans="1:5" x14ac:dyDescent="0.3">
      <c r="A295" s="2" t="s">
        <v>6</v>
      </c>
      <c r="B295" s="3">
        <v>46105</v>
      </c>
      <c r="C295" t="str">
        <f t="shared" si="3"/>
        <v>Mar</v>
      </c>
      <c r="D295">
        <v>1</v>
      </c>
      <c r="E295" s="7">
        <f>IFERROR(VLOOKUP(A295, PriceTable!$A$1:$B$45, 2, FALSE) * D295, 0)</f>
        <v>10000</v>
      </c>
    </row>
    <row r="296" spans="1:5" x14ac:dyDescent="0.3">
      <c r="A296" s="2" t="s">
        <v>3</v>
      </c>
      <c r="B296" s="3">
        <v>46106</v>
      </c>
      <c r="C296" t="str">
        <f t="shared" si="3"/>
        <v>Mar</v>
      </c>
      <c r="D296">
        <v>2</v>
      </c>
      <c r="E296" s="7">
        <f>IFERROR(VLOOKUP(A296, PriceTable!$A$1:$B$45, 2, FALSE) * D296, 0)</f>
        <v>70000</v>
      </c>
    </row>
    <row r="297" spans="1:5" x14ac:dyDescent="0.3">
      <c r="A297" s="2" t="s">
        <v>33</v>
      </c>
      <c r="B297" s="3">
        <v>46106</v>
      </c>
      <c r="C297" t="str">
        <f t="shared" ref="C297:C323" si="4">TEXT(B297, "mmm")</f>
        <v>Mar</v>
      </c>
      <c r="D297">
        <v>1</v>
      </c>
      <c r="E297" s="7">
        <f>IFERROR(VLOOKUP(A297, PriceTable!$A$1:$B$45, 2, FALSE) * D297, 0)</f>
        <v>55000</v>
      </c>
    </row>
    <row r="298" spans="1:5" x14ac:dyDescent="0.3">
      <c r="A298" t="s">
        <v>5</v>
      </c>
      <c r="B298" s="3">
        <v>46107</v>
      </c>
      <c r="C298" t="str">
        <f t="shared" si="4"/>
        <v>Mar</v>
      </c>
      <c r="D298">
        <v>2</v>
      </c>
      <c r="E298" s="7">
        <f>IFERROR(VLOOKUP(A298, PriceTable!$A$1:$B$45, 2, FALSE) * D298, 0)</f>
        <v>20000</v>
      </c>
    </row>
    <row r="299" spans="1:5" x14ac:dyDescent="0.3">
      <c r="A299" s="2" t="s">
        <v>6</v>
      </c>
      <c r="B299" s="3">
        <v>46107</v>
      </c>
      <c r="C299" t="str">
        <f t="shared" si="4"/>
        <v>Mar</v>
      </c>
      <c r="D299">
        <v>1</v>
      </c>
      <c r="E299" s="7">
        <f>IFERROR(VLOOKUP(A299, PriceTable!$A$1:$B$45, 2, FALSE) * D299, 0)</f>
        <v>10000</v>
      </c>
    </row>
    <row r="300" spans="1:5" x14ac:dyDescent="0.3">
      <c r="A300" t="s">
        <v>59</v>
      </c>
      <c r="B300" s="3">
        <v>46107</v>
      </c>
      <c r="C300" t="str">
        <f t="shared" si="4"/>
        <v>Mar</v>
      </c>
      <c r="D300">
        <v>1</v>
      </c>
      <c r="E300" s="7">
        <f>IFERROR(VLOOKUP(A300, PriceTable!$A$1:$B$45, 2, FALSE) * D300, 0)</f>
        <v>10000</v>
      </c>
    </row>
    <row r="301" spans="1:5" x14ac:dyDescent="0.3">
      <c r="A301" s="2" t="s">
        <v>47</v>
      </c>
      <c r="B301" s="3">
        <v>46108</v>
      </c>
      <c r="C301" t="str">
        <f t="shared" si="4"/>
        <v>Mar</v>
      </c>
      <c r="D301">
        <v>1</v>
      </c>
      <c r="E301" s="7">
        <f>IFERROR(VLOOKUP(A301, PriceTable!$A$1:$B$45, 2, FALSE) * D301, 0)</f>
        <v>20000</v>
      </c>
    </row>
    <row r="302" spans="1:5" x14ac:dyDescent="0.3">
      <c r="A302" t="s">
        <v>5</v>
      </c>
      <c r="B302" s="3">
        <v>46108</v>
      </c>
      <c r="C302" t="str">
        <f t="shared" si="4"/>
        <v>Mar</v>
      </c>
      <c r="D302">
        <v>3</v>
      </c>
      <c r="E302" s="7">
        <f>IFERROR(VLOOKUP(A302, PriceTable!$A$1:$B$45, 2, FALSE) * D302, 0)</f>
        <v>30000</v>
      </c>
    </row>
    <row r="303" spans="1:5" x14ac:dyDescent="0.3">
      <c r="A303" s="2" t="s">
        <v>15</v>
      </c>
      <c r="B303" s="3">
        <v>46109</v>
      </c>
      <c r="C303" t="str">
        <f t="shared" si="4"/>
        <v>Mar</v>
      </c>
      <c r="D303">
        <v>1</v>
      </c>
      <c r="E303" s="7">
        <f>IFERROR(VLOOKUP(A303, PriceTable!$A$1:$B$45, 2, FALSE) * D303, 0)</f>
        <v>40000</v>
      </c>
    </row>
    <row r="304" spans="1:5" x14ac:dyDescent="0.3">
      <c r="A304" s="2" t="s">
        <v>3</v>
      </c>
      <c r="B304" s="3">
        <v>46109</v>
      </c>
      <c r="C304" t="str">
        <f t="shared" si="4"/>
        <v>Mar</v>
      </c>
      <c r="D304">
        <v>2</v>
      </c>
      <c r="E304" s="7">
        <f>IFERROR(VLOOKUP(A304, PriceTable!$A$1:$B$45, 2, FALSE) * D304, 0)</f>
        <v>70000</v>
      </c>
    </row>
    <row r="305" spans="1:5" x14ac:dyDescent="0.3">
      <c r="A305" s="2" t="s">
        <v>28</v>
      </c>
      <c r="B305" s="3">
        <v>46109</v>
      </c>
      <c r="C305" t="str">
        <f t="shared" si="4"/>
        <v>Mar</v>
      </c>
      <c r="D305">
        <v>1</v>
      </c>
      <c r="E305" s="7">
        <f>IFERROR(VLOOKUP(A305, PriceTable!$A$1:$B$45, 2, FALSE) * D305, 0)</f>
        <v>25000</v>
      </c>
    </row>
    <row r="306" spans="1:5" x14ac:dyDescent="0.3">
      <c r="A306" t="s">
        <v>59</v>
      </c>
      <c r="B306" s="3">
        <v>46109</v>
      </c>
      <c r="C306" t="str">
        <f t="shared" si="4"/>
        <v>Mar</v>
      </c>
      <c r="D306">
        <v>2</v>
      </c>
      <c r="E306" s="7">
        <f>IFERROR(VLOOKUP(A306, PriceTable!$A$1:$B$45, 2, FALSE) * D306, 0)</f>
        <v>20000</v>
      </c>
    </row>
    <row r="307" spans="1:5" x14ac:dyDescent="0.3">
      <c r="A307" t="s">
        <v>5</v>
      </c>
      <c r="B307" s="3">
        <v>46109</v>
      </c>
      <c r="C307" t="str">
        <f t="shared" si="4"/>
        <v>Mar</v>
      </c>
      <c r="D307">
        <v>2</v>
      </c>
      <c r="E307" s="7">
        <f>IFERROR(VLOOKUP(A307, PriceTable!$A$1:$B$45, 2, FALSE) * D307, 0)</f>
        <v>20000</v>
      </c>
    </row>
    <row r="308" spans="1:5" x14ac:dyDescent="0.3">
      <c r="A308" s="2" t="s">
        <v>6</v>
      </c>
      <c r="B308" s="3">
        <v>46109</v>
      </c>
      <c r="C308" t="str">
        <f t="shared" si="4"/>
        <v>Mar</v>
      </c>
      <c r="D308">
        <v>1</v>
      </c>
      <c r="E308" s="7">
        <f>IFERROR(VLOOKUP(A308, PriceTable!$A$1:$B$45, 2, FALSE) * D308, 0)</f>
        <v>10000</v>
      </c>
    </row>
    <row r="309" spans="1:5" x14ac:dyDescent="0.3">
      <c r="A309" s="2" t="s">
        <v>26</v>
      </c>
      <c r="B309" s="3">
        <v>46109</v>
      </c>
      <c r="C309" t="str">
        <f t="shared" si="4"/>
        <v>Mar</v>
      </c>
      <c r="D309">
        <v>1</v>
      </c>
      <c r="E309" s="7">
        <v>30000</v>
      </c>
    </row>
    <row r="310" spans="1:5" x14ac:dyDescent="0.3">
      <c r="A310" s="2" t="s">
        <v>31</v>
      </c>
      <c r="B310" s="3">
        <v>46109</v>
      </c>
      <c r="C310" t="str">
        <f t="shared" si="4"/>
        <v>Mar</v>
      </c>
      <c r="D310">
        <v>1</v>
      </c>
      <c r="E310" s="7">
        <f>IFERROR(VLOOKUP(A310, PriceTable!$A$1:$B$45, 2, FALSE) * D310, 0)</f>
        <v>20000</v>
      </c>
    </row>
    <row r="311" spans="1:5" x14ac:dyDescent="0.3">
      <c r="A311" s="2" t="s">
        <v>8</v>
      </c>
      <c r="B311" s="3">
        <v>46109</v>
      </c>
      <c r="C311" t="str">
        <f t="shared" si="4"/>
        <v>Mar</v>
      </c>
      <c r="D311">
        <v>1</v>
      </c>
      <c r="E311" s="7">
        <f>IFERROR(VLOOKUP(A311, PriceTable!$A$1:$B$45, 2, FALSE) * D311, 0)</f>
        <v>20000</v>
      </c>
    </row>
    <row r="312" spans="1:5" x14ac:dyDescent="0.3">
      <c r="A312" s="2" t="s">
        <v>58</v>
      </c>
      <c r="B312" s="3">
        <v>46109</v>
      </c>
      <c r="C312" t="str">
        <f t="shared" si="4"/>
        <v>Mar</v>
      </c>
      <c r="D312">
        <v>1</v>
      </c>
      <c r="E312" s="7">
        <f>IFERROR(VLOOKUP(A312, PriceTable!$A$1:$B$45, 2, FALSE) * D312, 0)</f>
        <v>20000</v>
      </c>
    </row>
    <row r="313" spans="1:5" x14ac:dyDescent="0.3">
      <c r="A313" s="2" t="s">
        <v>14</v>
      </c>
      <c r="B313" s="3">
        <v>46109</v>
      </c>
      <c r="C313" t="str">
        <f t="shared" si="4"/>
        <v>Mar</v>
      </c>
      <c r="D313">
        <v>1</v>
      </c>
      <c r="E313" s="7">
        <f>IFERROR(VLOOKUP(A313, PriceTable!$A$1:$B$45, 2, FALSE) * D313, 0)</f>
        <v>15000</v>
      </c>
    </row>
    <row r="314" spans="1:5" x14ac:dyDescent="0.3">
      <c r="A314" s="2" t="s">
        <v>12</v>
      </c>
      <c r="B314" s="3">
        <v>46109</v>
      </c>
      <c r="C314" t="str">
        <f t="shared" si="4"/>
        <v>Mar</v>
      </c>
      <c r="D314">
        <v>1</v>
      </c>
      <c r="E314" s="7">
        <f>IFERROR(VLOOKUP(A314, PriceTable!$A$1:$B$45, 2, FALSE) * D314, 0)</f>
        <v>12000</v>
      </c>
    </row>
    <row r="315" spans="1:5" x14ac:dyDescent="0.3">
      <c r="A315" s="2" t="s">
        <v>10</v>
      </c>
      <c r="B315" s="3">
        <v>46109</v>
      </c>
      <c r="C315" t="str">
        <f t="shared" si="4"/>
        <v>Mar</v>
      </c>
      <c r="D315">
        <v>1</v>
      </c>
      <c r="E315" s="7">
        <v>40000</v>
      </c>
    </row>
    <row r="316" spans="1:5" x14ac:dyDescent="0.3">
      <c r="A316" s="2" t="s">
        <v>49</v>
      </c>
      <c r="B316" s="3">
        <v>46111</v>
      </c>
      <c r="C316" t="str">
        <f t="shared" si="4"/>
        <v>Mar</v>
      </c>
      <c r="D316">
        <v>1</v>
      </c>
      <c r="E316" s="7">
        <f>IFERROR(VLOOKUP(A316, PriceTable!$A$1:$B$45, 2, FALSE) * D316, 0)</f>
        <v>7000</v>
      </c>
    </row>
    <row r="317" spans="1:5" x14ac:dyDescent="0.3">
      <c r="A317" s="2" t="s">
        <v>8</v>
      </c>
      <c r="B317" s="3">
        <v>46111</v>
      </c>
      <c r="C317" t="str">
        <f t="shared" si="4"/>
        <v>Mar</v>
      </c>
      <c r="D317">
        <v>1</v>
      </c>
      <c r="E317" s="7">
        <f>IFERROR(VLOOKUP(A317, PriceTable!$A$1:$B$45, 2, FALSE) * D317, 0)</f>
        <v>20000</v>
      </c>
    </row>
    <row r="318" spans="1:5" x14ac:dyDescent="0.3">
      <c r="A318" s="2" t="s">
        <v>10</v>
      </c>
      <c r="B318" s="3">
        <v>46111</v>
      </c>
      <c r="C318" t="str">
        <f t="shared" si="4"/>
        <v>Mar</v>
      </c>
      <c r="D318">
        <v>1</v>
      </c>
      <c r="E318" s="7">
        <v>40000</v>
      </c>
    </row>
    <row r="319" spans="1:5" x14ac:dyDescent="0.3">
      <c r="A319" s="2" t="s">
        <v>13</v>
      </c>
      <c r="B319" s="3">
        <v>46111</v>
      </c>
      <c r="C319" t="str">
        <f t="shared" si="4"/>
        <v>Mar</v>
      </c>
      <c r="D319">
        <v>1</v>
      </c>
      <c r="E319" s="7">
        <f>IFERROR(VLOOKUP(A319, PriceTable!$A$1:$B$45, 2, FALSE) * D319, 0)</f>
        <v>25000</v>
      </c>
    </row>
    <row r="320" spans="1:5" x14ac:dyDescent="0.3">
      <c r="A320" s="2" t="s">
        <v>12</v>
      </c>
      <c r="B320" s="3">
        <v>46112</v>
      </c>
      <c r="C320" t="str">
        <f t="shared" si="4"/>
        <v>Mar</v>
      </c>
      <c r="D320">
        <v>1</v>
      </c>
      <c r="E320" s="7">
        <f>IFERROR(VLOOKUP(A320, PriceTable!$A$1:$B$45, 2, FALSE) * D320, 0)</f>
        <v>12000</v>
      </c>
    </row>
    <row r="321" spans="1:5" x14ac:dyDescent="0.3">
      <c r="A321" t="s">
        <v>5</v>
      </c>
      <c r="B321" s="3">
        <v>46112</v>
      </c>
      <c r="C321" t="str">
        <f t="shared" si="4"/>
        <v>Mar</v>
      </c>
      <c r="D321">
        <v>1</v>
      </c>
      <c r="E321" s="7">
        <f>IFERROR(VLOOKUP(A321, PriceTable!$A$1:$B$45, 2, FALSE) * D321, 0)</f>
        <v>10000</v>
      </c>
    </row>
    <row r="322" spans="1:5" x14ac:dyDescent="0.3">
      <c r="A322" s="2" t="s">
        <v>8</v>
      </c>
      <c r="B322" s="3">
        <v>46112</v>
      </c>
      <c r="C322" t="str">
        <f t="shared" si="4"/>
        <v>Mar</v>
      </c>
      <c r="D322">
        <v>1</v>
      </c>
      <c r="E322" s="7">
        <f>IFERROR(VLOOKUP(A322, PriceTable!$A$1:$B$45, 2, FALSE) * D322, 0)</f>
        <v>20000</v>
      </c>
    </row>
    <row r="323" spans="1:5" x14ac:dyDescent="0.3">
      <c r="A323" t="s">
        <v>59</v>
      </c>
      <c r="B323" s="3">
        <v>46112</v>
      </c>
      <c r="C323" t="str">
        <f t="shared" si="4"/>
        <v>Mar</v>
      </c>
      <c r="D323">
        <v>1</v>
      </c>
      <c r="E323" s="7">
        <v>15000</v>
      </c>
    </row>
  </sheetData>
  <autoFilter ref="A1:I1" xr:uid="{F3696CAB-0AF7-4DBD-924D-949CC7432C6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213F9-8D0C-44D1-BF97-C29878C32A43}">
  <dimension ref="A2:Z98"/>
  <sheetViews>
    <sheetView topLeftCell="A83" zoomScale="73" workbookViewId="0">
      <selection activeCell="L70" sqref="L70"/>
    </sheetView>
  </sheetViews>
  <sheetFormatPr defaultRowHeight="14.4" x14ac:dyDescent="0.3"/>
  <cols>
    <col min="1" max="1" width="13.33203125" bestFit="1" customWidth="1"/>
    <col min="2" max="3" width="14.88671875" bestFit="1" customWidth="1"/>
    <col min="4" max="4" width="25.5546875" bestFit="1" customWidth="1"/>
    <col min="5" max="5" width="16" bestFit="1" customWidth="1"/>
    <col min="12" max="12" width="16.109375" bestFit="1" customWidth="1"/>
    <col min="13" max="13" width="14.88671875" bestFit="1" customWidth="1"/>
    <col min="14" max="14" width="15.109375" bestFit="1" customWidth="1"/>
  </cols>
  <sheetData>
    <row r="2" spans="1:13" x14ac:dyDescent="0.3">
      <c r="A2" s="8" t="s">
        <v>41</v>
      </c>
      <c r="B2" t="s">
        <v>43</v>
      </c>
    </row>
    <row r="3" spans="1:13" x14ac:dyDescent="0.3">
      <c r="A3" s="9" t="s">
        <v>5</v>
      </c>
      <c r="B3" s="11">
        <v>55</v>
      </c>
      <c r="L3" s="8" t="s">
        <v>41</v>
      </c>
      <c r="M3" t="s">
        <v>44</v>
      </c>
    </row>
    <row r="4" spans="1:13" x14ac:dyDescent="0.3">
      <c r="A4" s="9" t="s">
        <v>22</v>
      </c>
      <c r="B4" s="11">
        <v>43</v>
      </c>
      <c r="L4" s="9" t="s">
        <v>22</v>
      </c>
      <c r="M4" s="10">
        <v>860000</v>
      </c>
    </row>
    <row r="5" spans="1:13" x14ac:dyDescent="0.3">
      <c r="A5" s="9" t="s">
        <v>23</v>
      </c>
      <c r="B5" s="11">
        <v>40</v>
      </c>
      <c r="L5" s="9" t="s">
        <v>24</v>
      </c>
      <c r="M5" s="10">
        <v>840000</v>
      </c>
    </row>
    <row r="6" spans="1:13" x14ac:dyDescent="0.3">
      <c r="A6" s="9" t="s">
        <v>35</v>
      </c>
      <c r="B6" s="11">
        <v>37</v>
      </c>
      <c r="L6" s="9" t="s">
        <v>5</v>
      </c>
      <c r="M6" s="10">
        <v>550000</v>
      </c>
    </row>
    <row r="7" spans="1:13" x14ac:dyDescent="0.3">
      <c r="A7" s="9" t="s">
        <v>24</v>
      </c>
      <c r="B7" s="11">
        <v>24</v>
      </c>
      <c r="L7" s="9" t="s">
        <v>35</v>
      </c>
      <c r="M7" s="10">
        <v>444000</v>
      </c>
    </row>
    <row r="8" spans="1:13" x14ac:dyDescent="0.3">
      <c r="A8" s="9" t="s">
        <v>42</v>
      </c>
      <c r="B8" s="11">
        <v>199</v>
      </c>
      <c r="L8" s="9" t="s">
        <v>20</v>
      </c>
      <c r="M8" s="10">
        <v>420000</v>
      </c>
    </row>
    <row r="9" spans="1:13" x14ac:dyDescent="0.3">
      <c r="L9" s="9" t="s">
        <v>42</v>
      </c>
      <c r="M9" s="10">
        <v>3114000</v>
      </c>
    </row>
    <row r="21" spans="1:13" x14ac:dyDescent="0.3">
      <c r="L21" s="9"/>
      <c r="M21" s="7"/>
    </row>
    <row r="22" spans="1:13" x14ac:dyDescent="0.3">
      <c r="L22" s="9"/>
      <c r="M22" s="7"/>
    </row>
    <row r="23" spans="1:13" x14ac:dyDescent="0.3">
      <c r="L23" s="9"/>
      <c r="M23" s="7"/>
    </row>
    <row r="24" spans="1:13" x14ac:dyDescent="0.3">
      <c r="L24" s="8" t="s">
        <v>41</v>
      </c>
      <c r="M24" t="s">
        <v>44</v>
      </c>
    </row>
    <row r="25" spans="1:13" x14ac:dyDescent="0.3">
      <c r="L25" s="9" t="s">
        <v>38</v>
      </c>
      <c r="M25" s="7">
        <v>14000</v>
      </c>
    </row>
    <row r="26" spans="1:13" x14ac:dyDescent="0.3">
      <c r="L26" s="9" t="s">
        <v>39</v>
      </c>
      <c r="M26" s="7">
        <v>10000</v>
      </c>
    </row>
    <row r="27" spans="1:13" x14ac:dyDescent="0.3">
      <c r="L27" s="9" t="s">
        <v>48</v>
      </c>
      <c r="M27" s="7">
        <v>10000</v>
      </c>
    </row>
    <row r="28" spans="1:13" x14ac:dyDescent="0.3">
      <c r="L28" s="9" t="s">
        <v>29</v>
      </c>
      <c r="M28" s="7">
        <v>5000</v>
      </c>
    </row>
    <row r="29" spans="1:13" x14ac:dyDescent="0.3">
      <c r="L29" s="9" t="s">
        <v>23</v>
      </c>
      <c r="M29" s="7">
        <v>0</v>
      </c>
    </row>
    <row r="30" spans="1:13" x14ac:dyDescent="0.3">
      <c r="L30" s="9" t="s">
        <v>42</v>
      </c>
      <c r="M30" s="7">
        <v>39000</v>
      </c>
    </row>
    <row r="32" spans="1:13" x14ac:dyDescent="0.3">
      <c r="A32" s="8" t="s">
        <v>41</v>
      </c>
      <c r="B32" t="s">
        <v>43</v>
      </c>
    </row>
    <row r="33" spans="1:2" x14ac:dyDescent="0.3">
      <c r="A33" s="9" t="s">
        <v>45</v>
      </c>
      <c r="B33" s="11">
        <v>1</v>
      </c>
    </row>
    <row r="34" spans="1:2" x14ac:dyDescent="0.3">
      <c r="A34" s="9" t="s">
        <v>16</v>
      </c>
      <c r="B34" s="11">
        <v>1</v>
      </c>
    </row>
    <row r="35" spans="1:2" x14ac:dyDescent="0.3">
      <c r="A35" s="9" t="s">
        <v>47</v>
      </c>
      <c r="B35" s="11">
        <v>1</v>
      </c>
    </row>
    <row r="36" spans="1:2" x14ac:dyDescent="0.3">
      <c r="A36" s="9" t="s">
        <v>29</v>
      </c>
      <c r="B36" s="11">
        <v>1</v>
      </c>
    </row>
    <row r="37" spans="1:2" x14ac:dyDescent="0.3">
      <c r="A37" s="9" t="s">
        <v>28</v>
      </c>
      <c r="B37" s="11">
        <v>1</v>
      </c>
    </row>
    <row r="38" spans="1:2" x14ac:dyDescent="0.3">
      <c r="A38" s="9" t="s">
        <v>39</v>
      </c>
      <c r="B38" s="11">
        <v>1</v>
      </c>
    </row>
    <row r="39" spans="1:2" x14ac:dyDescent="0.3">
      <c r="A39" s="9" t="s">
        <v>42</v>
      </c>
      <c r="B39" s="11">
        <v>6</v>
      </c>
    </row>
    <row r="49" spans="1:26" x14ac:dyDescent="0.3">
      <c r="A49" s="8" t="s">
        <v>41</v>
      </c>
      <c r="B49" t="s">
        <v>44</v>
      </c>
    </row>
    <row r="50" spans="1:26" x14ac:dyDescent="0.3">
      <c r="A50" s="9" t="s">
        <v>56</v>
      </c>
      <c r="B50" s="13">
        <v>1896000</v>
      </c>
    </row>
    <row r="51" spans="1:26" x14ac:dyDescent="0.3">
      <c r="A51" s="9" t="s">
        <v>57</v>
      </c>
      <c r="B51" s="13">
        <v>1039000</v>
      </c>
    </row>
    <row r="52" spans="1:26" x14ac:dyDescent="0.3">
      <c r="A52" s="9" t="s">
        <v>50</v>
      </c>
      <c r="B52" s="13">
        <v>3052000</v>
      </c>
    </row>
    <row r="53" spans="1:26" ht="33.6" x14ac:dyDescent="0.65">
      <c r="A53" s="9" t="s">
        <v>42</v>
      </c>
      <c r="B53" s="11">
        <v>5987000</v>
      </c>
      <c r="I53" s="20"/>
      <c r="J53" s="20" t="s">
        <v>91</v>
      </c>
    </row>
    <row r="55" spans="1:26" x14ac:dyDescent="0.3">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31.2" x14ac:dyDescent="0.6">
      <c r="J56" s="21" t="s">
        <v>92</v>
      </c>
      <c r="L56" t="s">
        <v>96</v>
      </c>
    </row>
    <row r="57" spans="1:26" x14ac:dyDescent="0.3">
      <c r="A57" s="8" t="s">
        <v>41</v>
      </c>
      <c r="B57" t="s">
        <v>43</v>
      </c>
      <c r="C57" t="s">
        <v>93</v>
      </c>
      <c r="L57" s="8" t="s">
        <v>41</v>
      </c>
      <c r="M57" t="s">
        <v>44</v>
      </c>
      <c r="O57" t="s">
        <v>95</v>
      </c>
    </row>
    <row r="58" spans="1:26" x14ac:dyDescent="0.3">
      <c r="A58" s="9" t="s">
        <v>5</v>
      </c>
      <c r="B58" s="11">
        <v>96</v>
      </c>
      <c r="L58" s="9" t="s">
        <v>8</v>
      </c>
      <c r="M58" s="10">
        <v>1020000</v>
      </c>
    </row>
    <row r="59" spans="1:26" x14ac:dyDescent="0.3">
      <c r="A59" s="9" t="s">
        <v>12</v>
      </c>
      <c r="B59" s="11">
        <v>70</v>
      </c>
      <c r="L59" s="9" t="s">
        <v>5</v>
      </c>
      <c r="M59" s="10">
        <v>960000</v>
      </c>
    </row>
    <row r="60" spans="1:26" x14ac:dyDescent="0.3">
      <c r="A60" s="9" t="s">
        <v>59</v>
      </c>
      <c r="B60" s="11">
        <v>54</v>
      </c>
      <c r="L60" s="9" t="s">
        <v>60</v>
      </c>
      <c r="M60" s="10">
        <v>910000</v>
      </c>
    </row>
    <row r="61" spans="1:26" x14ac:dyDescent="0.3">
      <c r="A61" s="9" t="s">
        <v>8</v>
      </c>
      <c r="B61" s="11">
        <v>51</v>
      </c>
      <c r="L61" s="9" t="s">
        <v>12</v>
      </c>
      <c r="M61" s="10">
        <v>822000</v>
      </c>
    </row>
    <row r="62" spans="1:26" x14ac:dyDescent="0.3">
      <c r="A62" s="9" t="s">
        <v>13</v>
      </c>
      <c r="B62" s="11">
        <v>28</v>
      </c>
      <c r="L62" s="9" t="s">
        <v>13</v>
      </c>
      <c r="M62" s="10">
        <v>700000</v>
      </c>
    </row>
    <row r="63" spans="1:26" x14ac:dyDescent="0.3">
      <c r="A63" s="9" t="s">
        <v>42</v>
      </c>
      <c r="B63" s="11">
        <v>299</v>
      </c>
      <c r="L63" s="9" t="s">
        <v>3</v>
      </c>
      <c r="M63" s="10">
        <v>700000</v>
      </c>
    </row>
    <row r="64" spans="1:26" x14ac:dyDescent="0.3">
      <c r="L64" s="9" t="s">
        <v>42</v>
      </c>
      <c r="M64" s="10">
        <v>5112000</v>
      </c>
    </row>
    <row r="74" spans="12:13" x14ac:dyDescent="0.3">
      <c r="L74" s="8" t="s">
        <v>41</v>
      </c>
      <c r="M74" t="s">
        <v>44</v>
      </c>
    </row>
    <row r="75" spans="12:13" x14ac:dyDescent="0.3">
      <c r="L75" s="9" t="s">
        <v>80</v>
      </c>
      <c r="M75" s="7">
        <v>10000</v>
      </c>
    </row>
    <row r="76" spans="12:13" x14ac:dyDescent="0.3">
      <c r="L76" s="9" t="s">
        <v>90</v>
      </c>
      <c r="M76" s="7">
        <v>10000</v>
      </c>
    </row>
    <row r="77" spans="12:13" x14ac:dyDescent="0.3">
      <c r="L77" s="9" t="s">
        <v>70</v>
      </c>
      <c r="M77" s="7">
        <v>10000</v>
      </c>
    </row>
    <row r="78" spans="12:13" x14ac:dyDescent="0.3">
      <c r="L78" s="9" t="s">
        <v>78</v>
      </c>
      <c r="M78" s="7">
        <v>7000</v>
      </c>
    </row>
    <row r="79" spans="12:13" x14ac:dyDescent="0.3">
      <c r="L79" s="9" t="s">
        <v>81</v>
      </c>
      <c r="M79" s="7">
        <v>5000</v>
      </c>
    </row>
    <row r="80" spans="12:13" x14ac:dyDescent="0.3">
      <c r="L80" s="9" t="s">
        <v>64</v>
      </c>
      <c r="M80" s="7">
        <v>5000</v>
      </c>
    </row>
    <row r="81" spans="1:13" x14ac:dyDescent="0.3">
      <c r="D81" s="8" t="s">
        <v>41</v>
      </c>
      <c r="E81" t="s">
        <v>43</v>
      </c>
      <c r="L81" s="9" t="s">
        <v>29</v>
      </c>
      <c r="M81" s="7">
        <v>5000</v>
      </c>
    </row>
    <row r="82" spans="1:13" x14ac:dyDescent="0.3">
      <c r="D82" s="9" t="s">
        <v>84</v>
      </c>
      <c r="E82" s="11">
        <v>1</v>
      </c>
      <c r="L82" s="9" t="s">
        <v>42</v>
      </c>
      <c r="M82" s="7">
        <v>52000</v>
      </c>
    </row>
    <row r="83" spans="1:13" x14ac:dyDescent="0.3">
      <c r="D83" s="9" t="s">
        <v>75</v>
      </c>
      <c r="E83" s="11">
        <v>1</v>
      </c>
    </row>
    <row r="84" spans="1:13" x14ac:dyDescent="0.3">
      <c r="D84" s="9" t="s">
        <v>45</v>
      </c>
      <c r="E84" s="11">
        <v>1</v>
      </c>
    </row>
    <row r="85" spans="1:13" x14ac:dyDescent="0.3">
      <c r="D85" s="9" t="s">
        <v>65</v>
      </c>
      <c r="E85" s="11">
        <v>1</v>
      </c>
    </row>
    <row r="86" spans="1:13" x14ac:dyDescent="0.3">
      <c r="D86" s="9" t="s">
        <v>64</v>
      </c>
      <c r="E86" s="11">
        <v>1</v>
      </c>
    </row>
    <row r="87" spans="1:13" x14ac:dyDescent="0.3">
      <c r="D87" s="9" t="s">
        <v>78</v>
      </c>
      <c r="E87" s="11">
        <v>1</v>
      </c>
    </row>
    <row r="88" spans="1:13" x14ac:dyDescent="0.3">
      <c r="D88" s="9" t="s">
        <v>68</v>
      </c>
      <c r="E88" s="11">
        <v>1</v>
      </c>
    </row>
    <row r="89" spans="1:13" x14ac:dyDescent="0.3">
      <c r="D89" s="9" t="s">
        <v>29</v>
      </c>
      <c r="E89" s="11">
        <v>1</v>
      </c>
    </row>
    <row r="90" spans="1:13" x14ac:dyDescent="0.3">
      <c r="A90" s="8" t="s">
        <v>41</v>
      </c>
      <c r="B90" t="s">
        <v>44</v>
      </c>
      <c r="D90" s="9" t="s">
        <v>63</v>
      </c>
      <c r="E90" s="11">
        <v>1</v>
      </c>
    </row>
    <row r="91" spans="1:13" x14ac:dyDescent="0.3">
      <c r="A91" s="9" t="s">
        <v>86</v>
      </c>
      <c r="B91" s="13">
        <v>3136000</v>
      </c>
      <c r="D91" s="9" t="s">
        <v>90</v>
      </c>
      <c r="E91" s="11">
        <v>1</v>
      </c>
    </row>
    <row r="92" spans="1:13" x14ac:dyDescent="0.3">
      <c r="A92" s="9" t="s">
        <v>87</v>
      </c>
      <c r="B92" s="13">
        <v>3339000</v>
      </c>
      <c r="D92" s="9" t="s">
        <v>71</v>
      </c>
      <c r="E92" s="11">
        <v>1</v>
      </c>
    </row>
    <row r="93" spans="1:13" x14ac:dyDescent="0.3">
      <c r="A93" s="9" t="s">
        <v>94</v>
      </c>
      <c r="B93" s="13">
        <v>2800000</v>
      </c>
      <c r="D93" s="9" t="s">
        <v>46</v>
      </c>
      <c r="E93" s="11">
        <v>1</v>
      </c>
    </row>
    <row r="94" spans="1:13" x14ac:dyDescent="0.3">
      <c r="A94" s="9" t="s">
        <v>42</v>
      </c>
      <c r="B94" s="11">
        <v>9275000</v>
      </c>
      <c r="D94" s="9" t="s">
        <v>81</v>
      </c>
      <c r="E94" s="11">
        <v>1</v>
      </c>
    </row>
    <row r="95" spans="1:13" x14ac:dyDescent="0.3">
      <c r="D95" s="9" t="s">
        <v>15</v>
      </c>
      <c r="E95" s="11">
        <v>1</v>
      </c>
    </row>
    <row r="96" spans="1:13" x14ac:dyDescent="0.3">
      <c r="D96" s="9" t="s">
        <v>83</v>
      </c>
      <c r="E96" s="11">
        <v>1</v>
      </c>
    </row>
    <row r="97" spans="4:5" x14ac:dyDescent="0.3">
      <c r="D97" s="9" t="s">
        <v>70</v>
      </c>
      <c r="E97" s="11">
        <v>1</v>
      </c>
    </row>
    <row r="98" spans="4:5" x14ac:dyDescent="0.3">
      <c r="D98" s="9" t="s">
        <v>42</v>
      </c>
      <c r="E98" s="11">
        <v>16</v>
      </c>
    </row>
  </sheetData>
  <pageMargins left="0.7" right="0.7" top="0.75" bottom="0.75" header="0.3" footer="0.3"/>
  <pageSetup paperSize="9" orientation="portrait" r:id="rId11"/>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5A907-9500-42F7-95E7-825FAB1558A1}">
  <dimension ref="A1:H110"/>
  <sheetViews>
    <sheetView tabSelected="1" workbookViewId="0">
      <pane ySplit="1" topLeftCell="A2" activePane="bottomLeft" state="frozen"/>
      <selection pane="bottomLeft" activeCell="G4" sqref="G4"/>
    </sheetView>
  </sheetViews>
  <sheetFormatPr defaultRowHeight="14.4" x14ac:dyDescent="0.3"/>
  <cols>
    <col min="1" max="1" width="9.5546875" bestFit="1" customWidth="1"/>
    <col min="3" max="3" width="23.44140625" bestFit="1" customWidth="1"/>
    <col min="4" max="4" width="53.77734375" bestFit="1" customWidth="1"/>
    <col min="5" max="5" width="11.77734375" style="13" bestFit="1" customWidth="1"/>
    <col min="8" max="8" width="11.77734375" bestFit="1" customWidth="1"/>
  </cols>
  <sheetData>
    <row r="1" spans="1:8" x14ac:dyDescent="0.3">
      <c r="A1" t="s">
        <v>18</v>
      </c>
      <c r="B1" t="s">
        <v>40</v>
      </c>
      <c r="C1" t="s">
        <v>97</v>
      </c>
      <c r="D1" t="s">
        <v>98</v>
      </c>
      <c r="E1" s="13" t="s">
        <v>99</v>
      </c>
    </row>
    <row r="2" spans="1:8" x14ac:dyDescent="0.3">
      <c r="A2" s="3">
        <v>46027</v>
      </c>
      <c r="B2" t="str">
        <f>TEXT(A2, "mmm")</f>
        <v>Jan</v>
      </c>
      <c r="C2" t="s">
        <v>100</v>
      </c>
      <c r="D2" t="str">
        <f>IF(ISNUMBER(SEARCH("nauli",LOWER(C2))),"Logistics",
IF(ISNUMBER(SEARCH("lunch",LOWER(C2))),"Misc",
IF(OR(ISNUMBER(SEARCH("luku",LOWER(C2))),ISNUMBER(SEARCH("umeme",LOWER(C2)))),"Operating",
IF(ISNUMBER(SEARCH("boda",LOWER(C2))),"Logistics",
IF(ISNUMBER(SEARCH("abel",LOWER(C2))),"Logistics",
IF(ISNUMBER(SEARCH("toyo",LOWER(C2))),"Logistics",
IF(ISNUMBER(SEARCH("mary",LOWER(C2))),"Salaries",
IF(ISNUMBER(SEARCH("soap",LOWER(C2))),"Production",
IF(ISNUMBER(SEARCH("fragrance",LOWER(C2))),"Production",
IF(ISNUMBER(SEARCH("gohil",LOWER(C2))),"Production",
IF(ISNUMBER(SEARCH("formulator",LOWER(C2))),"Production",
IF(ISNUMBER(SEARCH("shea",LOWER(C2))),"Production",
IF(ISNUMBER(SEARCH("olive",LOWER(C2))),"Production",
IF(ISNUMBER(SEARCH("pack",LOWER(C2))),"Production",
IF(ISNUMBER(SEARCH("sticker",LOWER(C2))),"Production",
IF(ISNUMBER(SEARCH("ulinzi",LOWER(C2))),"Operating",
IF(ISNUMBER(SEARCH("taka",LOWER(C2))),"Operating",
IF(C2="TRA","Taxes",
IF(C2="AUWSA","Operating",
"Misc")))))))))))))))))))</f>
        <v>Operating</v>
      </c>
      <c r="E2" s="13">
        <v>20000</v>
      </c>
      <c r="G2" t="s">
        <v>86</v>
      </c>
      <c r="H2" s="13">
        <f>SUM(E2:E41)</f>
        <v>548300</v>
      </c>
    </row>
    <row r="3" spans="1:8" x14ac:dyDescent="0.3">
      <c r="A3" s="3">
        <v>46029</v>
      </c>
      <c r="B3" t="str">
        <f t="shared" ref="B3:B66" si="0">TEXT(A3, "mmm")</f>
        <v>Jan</v>
      </c>
      <c r="C3" t="s">
        <v>101</v>
      </c>
      <c r="D3" t="str">
        <f t="shared" ref="D3:D66" si="1">IF(ISNUMBER(SEARCH("nauli",LOWER(C3))),"Logistics",
IF(ISNUMBER(SEARCH("lunch",LOWER(C3))),"Misc",
IF(OR(ISNUMBER(SEARCH("luku",LOWER(C3))),ISNUMBER(SEARCH("umeme",LOWER(C3)))),"Operating",
IF(ISNUMBER(SEARCH("boda",LOWER(C3))),"Logistics",
IF(ISNUMBER(SEARCH("abel",LOWER(C3))),"Logistics",
IF(ISNUMBER(SEARCH("toyo",LOWER(C3))),"Logistics",
IF(ISNUMBER(SEARCH("mary",LOWER(C3))),"Salaries",
IF(ISNUMBER(SEARCH("soap",LOWER(C3))),"Production",
IF(ISNUMBER(SEARCH("fragrance",LOWER(C3))),"Production",
IF(ISNUMBER(SEARCH("gohil",LOWER(C3))),"Production",
IF(ISNUMBER(SEARCH("formulator",LOWER(C3))),"Production",
IF(ISNUMBER(SEARCH("shea",LOWER(C3))),"Production",
IF(ISNUMBER(SEARCH("olive",LOWER(C3))),"Production",
IF(ISNUMBER(SEARCH("pack",LOWER(C3))),"Production",
IF(ISNUMBER(SEARCH("sticker",LOWER(C3))),"Production",
IF(ISNUMBER(SEARCH("ulinzi",LOWER(C3))),"Operating",
IF(ISNUMBER(SEARCH("taka",LOWER(C3))),"Operating",
IF(C3="TRA","Taxes",
IF(C3="AUWSA","Operating",
"Misc")))))))))))))))))))</f>
        <v>Logistics</v>
      </c>
      <c r="E3" s="13">
        <v>9000</v>
      </c>
      <c r="G3" t="s">
        <v>87</v>
      </c>
      <c r="H3" s="13">
        <f>SUM(E42:E89)</f>
        <v>833000</v>
      </c>
    </row>
    <row r="4" spans="1:8" x14ac:dyDescent="0.3">
      <c r="A4" s="3">
        <v>46034</v>
      </c>
      <c r="B4" t="str">
        <f t="shared" si="0"/>
        <v>Jan</v>
      </c>
      <c r="C4" t="s">
        <v>46</v>
      </c>
      <c r="D4" t="str">
        <f t="shared" si="1"/>
        <v>Production</v>
      </c>
      <c r="E4" s="13">
        <v>40000</v>
      </c>
      <c r="G4" t="s">
        <v>94</v>
      </c>
    </row>
    <row r="5" spans="1:8" x14ac:dyDescent="0.3">
      <c r="A5" s="3">
        <v>46034</v>
      </c>
      <c r="B5" t="str">
        <f t="shared" si="0"/>
        <v>Jan</v>
      </c>
      <c r="C5" t="s">
        <v>102</v>
      </c>
      <c r="D5" t="str">
        <f t="shared" si="1"/>
        <v>Production</v>
      </c>
      <c r="E5" s="13">
        <v>40000</v>
      </c>
    </row>
    <row r="6" spans="1:8" x14ac:dyDescent="0.3">
      <c r="A6" s="3">
        <v>46034</v>
      </c>
      <c r="B6" t="str">
        <f t="shared" si="0"/>
        <v>Jan</v>
      </c>
      <c r="C6" t="s">
        <v>103</v>
      </c>
      <c r="D6" t="str">
        <f t="shared" si="1"/>
        <v>Misc</v>
      </c>
      <c r="E6" s="13">
        <v>5000</v>
      </c>
    </row>
    <row r="7" spans="1:8" x14ac:dyDescent="0.3">
      <c r="A7" s="3">
        <v>46034</v>
      </c>
      <c r="B7" t="str">
        <f t="shared" si="0"/>
        <v>Jan</v>
      </c>
      <c r="C7" t="s">
        <v>104</v>
      </c>
      <c r="D7" t="str">
        <f t="shared" si="1"/>
        <v>Production</v>
      </c>
      <c r="E7" s="13">
        <v>45000</v>
      </c>
    </row>
    <row r="8" spans="1:8" x14ac:dyDescent="0.3">
      <c r="A8" s="3">
        <v>46035</v>
      </c>
      <c r="B8" t="str">
        <f t="shared" si="0"/>
        <v>Jan</v>
      </c>
      <c r="C8" t="s">
        <v>101</v>
      </c>
      <c r="D8" t="str">
        <f t="shared" si="1"/>
        <v>Logistics</v>
      </c>
      <c r="E8" s="13">
        <v>9000</v>
      </c>
    </row>
    <row r="9" spans="1:8" x14ac:dyDescent="0.3">
      <c r="A9" s="3">
        <v>46035</v>
      </c>
      <c r="B9" t="str">
        <f t="shared" si="0"/>
        <v>Jan</v>
      </c>
      <c r="C9" t="s">
        <v>105</v>
      </c>
      <c r="D9" t="str">
        <f t="shared" si="1"/>
        <v>Misc</v>
      </c>
      <c r="E9" s="13">
        <v>15000</v>
      </c>
    </row>
    <row r="10" spans="1:8" x14ac:dyDescent="0.3">
      <c r="A10" s="3">
        <v>46035</v>
      </c>
      <c r="B10" t="str">
        <f t="shared" si="0"/>
        <v>Jan</v>
      </c>
      <c r="C10" t="s">
        <v>106</v>
      </c>
      <c r="D10" t="str">
        <f t="shared" si="1"/>
        <v>Production</v>
      </c>
      <c r="E10" s="13">
        <v>11000</v>
      </c>
    </row>
    <row r="11" spans="1:8" x14ac:dyDescent="0.3">
      <c r="A11" s="3">
        <v>46035</v>
      </c>
      <c r="B11" t="str">
        <f t="shared" si="0"/>
        <v>Jan</v>
      </c>
      <c r="C11" t="s">
        <v>107</v>
      </c>
      <c r="D11" t="str">
        <f t="shared" si="1"/>
        <v>Misc</v>
      </c>
      <c r="E11" s="13">
        <v>10000</v>
      </c>
    </row>
    <row r="12" spans="1:8" x14ac:dyDescent="0.3">
      <c r="A12" s="3">
        <v>46035</v>
      </c>
      <c r="B12" t="str">
        <f t="shared" si="0"/>
        <v>Jan</v>
      </c>
      <c r="C12" t="s">
        <v>108</v>
      </c>
      <c r="D12" t="str">
        <f t="shared" si="1"/>
        <v>Misc</v>
      </c>
      <c r="E12" s="13">
        <v>12000</v>
      </c>
    </row>
    <row r="13" spans="1:8" x14ac:dyDescent="0.3">
      <c r="A13" s="3">
        <v>46035</v>
      </c>
      <c r="B13" t="str">
        <f t="shared" si="0"/>
        <v>Jan</v>
      </c>
      <c r="C13" t="s">
        <v>109</v>
      </c>
      <c r="D13" t="str">
        <f t="shared" si="1"/>
        <v>Misc</v>
      </c>
      <c r="E13" s="13">
        <v>10000</v>
      </c>
    </row>
    <row r="14" spans="1:8" x14ac:dyDescent="0.3">
      <c r="A14" s="3">
        <v>46036</v>
      </c>
      <c r="B14" t="str">
        <f t="shared" si="0"/>
        <v>Jan</v>
      </c>
      <c r="C14" t="s">
        <v>110</v>
      </c>
      <c r="D14" t="str">
        <f t="shared" si="1"/>
        <v>Misc</v>
      </c>
      <c r="E14" s="13">
        <v>6000</v>
      </c>
    </row>
    <row r="15" spans="1:8" x14ac:dyDescent="0.3">
      <c r="A15" s="3">
        <v>46036</v>
      </c>
      <c r="B15" t="str">
        <f t="shared" si="0"/>
        <v>Jan</v>
      </c>
      <c r="C15" t="s">
        <v>111</v>
      </c>
      <c r="D15" t="str">
        <f t="shared" si="1"/>
        <v>Misc</v>
      </c>
      <c r="E15" s="13">
        <v>4000</v>
      </c>
    </row>
    <row r="16" spans="1:8" x14ac:dyDescent="0.3">
      <c r="A16" s="3">
        <v>46037</v>
      </c>
      <c r="B16" t="str">
        <f t="shared" si="0"/>
        <v>Jan</v>
      </c>
      <c r="C16" t="s">
        <v>112</v>
      </c>
      <c r="D16" t="str">
        <f t="shared" si="1"/>
        <v>Misc</v>
      </c>
      <c r="E16" s="13">
        <v>30000</v>
      </c>
    </row>
    <row r="17" spans="1:5" x14ac:dyDescent="0.3">
      <c r="A17" s="3">
        <v>46039</v>
      </c>
      <c r="B17" t="str">
        <f t="shared" si="0"/>
        <v>Jan</v>
      </c>
      <c r="C17" t="s">
        <v>113</v>
      </c>
      <c r="D17" t="str">
        <f t="shared" si="1"/>
        <v>Misc</v>
      </c>
      <c r="E17" s="13">
        <v>2000</v>
      </c>
    </row>
    <row r="18" spans="1:5" x14ac:dyDescent="0.3">
      <c r="A18" s="3">
        <v>46039</v>
      </c>
      <c r="B18" t="str">
        <f t="shared" si="0"/>
        <v>Jan</v>
      </c>
      <c r="C18" t="s">
        <v>114</v>
      </c>
      <c r="D18" t="str">
        <f t="shared" si="1"/>
        <v>Misc</v>
      </c>
      <c r="E18" s="13">
        <v>12000</v>
      </c>
    </row>
    <row r="19" spans="1:5" x14ac:dyDescent="0.3">
      <c r="A19" s="3">
        <v>46042</v>
      </c>
      <c r="B19" t="str">
        <f t="shared" si="0"/>
        <v>Jan</v>
      </c>
      <c r="C19" t="s">
        <v>115</v>
      </c>
      <c r="D19" t="str">
        <f t="shared" si="1"/>
        <v>Production</v>
      </c>
      <c r="E19" s="13">
        <v>28000</v>
      </c>
    </row>
    <row r="20" spans="1:5" x14ac:dyDescent="0.3">
      <c r="A20" s="3">
        <v>46042</v>
      </c>
      <c r="B20" t="str">
        <f t="shared" si="0"/>
        <v>Jan</v>
      </c>
      <c r="C20" t="s">
        <v>116</v>
      </c>
      <c r="D20" t="str">
        <f t="shared" si="1"/>
        <v>Misc</v>
      </c>
      <c r="E20" s="13">
        <v>6000</v>
      </c>
    </row>
    <row r="21" spans="1:5" x14ac:dyDescent="0.3">
      <c r="A21" s="3">
        <v>46042</v>
      </c>
      <c r="B21" t="str">
        <f t="shared" si="0"/>
        <v>Jan</v>
      </c>
      <c r="C21" t="s">
        <v>117</v>
      </c>
      <c r="D21" t="str">
        <f t="shared" si="1"/>
        <v>Misc</v>
      </c>
      <c r="E21" s="13">
        <v>21800</v>
      </c>
    </row>
    <row r="22" spans="1:5" x14ac:dyDescent="0.3">
      <c r="A22" s="3">
        <v>46042</v>
      </c>
      <c r="B22" t="str">
        <f t="shared" si="0"/>
        <v>Jan</v>
      </c>
      <c r="C22" t="s">
        <v>118</v>
      </c>
      <c r="D22" t="str">
        <f t="shared" si="1"/>
        <v>Misc</v>
      </c>
      <c r="E22" s="13">
        <v>30000</v>
      </c>
    </row>
    <row r="23" spans="1:5" x14ac:dyDescent="0.3">
      <c r="A23" s="3">
        <v>46042</v>
      </c>
      <c r="B23" t="str">
        <f t="shared" si="0"/>
        <v>Jan</v>
      </c>
      <c r="C23" t="s">
        <v>119</v>
      </c>
      <c r="D23" t="str">
        <f t="shared" si="1"/>
        <v>Logistics</v>
      </c>
      <c r="E23" s="13">
        <v>6000</v>
      </c>
    </row>
    <row r="24" spans="1:5" x14ac:dyDescent="0.3">
      <c r="A24" s="3">
        <v>46043</v>
      </c>
      <c r="B24" t="str">
        <f t="shared" si="0"/>
        <v>Jan</v>
      </c>
      <c r="C24" t="s">
        <v>120</v>
      </c>
      <c r="D24" t="str">
        <f t="shared" si="1"/>
        <v>Production</v>
      </c>
      <c r="E24" s="13">
        <v>25000</v>
      </c>
    </row>
    <row r="25" spans="1:5" x14ac:dyDescent="0.3">
      <c r="A25" s="3">
        <v>46043</v>
      </c>
      <c r="B25" t="str">
        <f t="shared" si="0"/>
        <v>Jan</v>
      </c>
      <c r="C25" t="s">
        <v>121</v>
      </c>
      <c r="D25" t="str">
        <f t="shared" si="1"/>
        <v>Misc</v>
      </c>
      <c r="E25" s="13">
        <v>4000</v>
      </c>
    </row>
    <row r="26" spans="1:5" x14ac:dyDescent="0.3">
      <c r="A26" s="3">
        <v>46045</v>
      </c>
      <c r="B26" t="str">
        <f t="shared" si="0"/>
        <v>Jan</v>
      </c>
      <c r="C26" t="s">
        <v>122</v>
      </c>
      <c r="D26" t="str">
        <f t="shared" si="1"/>
        <v>Misc</v>
      </c>
      <c r="E26" s="13">
        <v>10000</v>
      </c>
    </row>
    <row r="27" spans="1:5" x14ac:dyDescent="0.3">
      <c r="A27" s="3">
        <v>46045</v>
      </c>
      <c r="B27" t="str">
        <f t="shared" si="0"/>
        <v>Jan</v>
      </c>
      <c r="C27" t="s">
        <v>123</v>
      </c>
      <c r="D27" t="str">
        <f t="shared" si="1"/>
        <v>Misc</v>
      </c>
      <c r="E27" s="13">
        <v>17000</v>
      </c>
    </row>
    <row r="28" spans="1:5" x14ac:dyDescent="0.3">
      <c r="A28" s="3">
        <v>46044</v>
      </c>
      <c r="B28" t="str">
        <f t="shared" si="0"/>
        <v>Jan</v>
      </c>
      <c r="C28" t="s">
        <v>107</v>
      </c>
      <c r="D28" t="str">
        <f t="shared" si="1"/>
        <v>Misc</v>
      </c>
      <c r="E28" s="13">
        <v>7500</v>
      </c>
    </row>
    <row r="29" spans="1:5" x14ac:dyDescent="0.3">
      <c r="A29" s="3">
        <v>46044</v>
      </c>
      <c r="B29" t="str">
        <f t="shared" si="0"/>
        <v>Jan</v>
      </c>
      <c r="C29" t="s">
        <v>125</v>
      </c>
      <c r="D29" t="str">
        <f t="shared" si="1"/>
        <v>Logistics</v>
      </c>
      <c r="E29" s="13">
        <v>15000</v>
      </c>
    </row>
    <row r="30" spans="1:5" x14ac:dyDescent="0.3">
      <c r="A30" s="3">
        <v>46046</v>
      </c>
      <c r="B30" t="str">
        <f t="shared" si="0"/>
        <v>Jan</v>
      </c>
      <c r="C30" t="s">
        <v>126</v>
      </c>
      <c r="D30" t="str">
        <f t="shared" si="1"/>
        <v>Logistics</v>
      </c>
      <c r="E30" s="13">
        <v>25500</v>
      </c>
    </row>
    <row r="31" spans="1:5" x14ac:dyDescent="0.3">
      <c r="A31" s="3">
        <v>46048</v>
      </c>
      <c r="B31" t="str">
        <f t="shared" si="0"/>
        <v>Jan</v>
      </c>
      <c r="C31" t="s">
        <v>127</v>
      </c>
      <c r="D31" t="str">
        <f t="shared" si="1"/>
        <v>Misc</v>
      </c>
      <c r="E31" s="13">
        <v>4000</v>
      </c>
    </row>
    <row r="32" spans="1:5" x14ac:dyDescent="0.3">
      <c r="A32" s="3">
        <v>46048</v>
      </c>
      <c r="B32" t="str">
        <f t="shared" si="0"/>
        <v>Jan</v>
      </c>
      <c r="C32" t="s">
        <v>121</v>
      </c>
      <c r="D32" t="str">
        <f t="shared" si="1"/>
        <v>Misc</v>
      </c>
      <c r="E32" s="13">
        <v>10000</v>
      </c>
    </row>
    <row r="33" spans="1:5" x14ac:dyDescent="0.3">
      <c r="A33" s="3">
        <v>46049</v>
      </c>
      <c r="B33" t="str">
        <f t="shared" si="0"/>
        <v>Jan</v>
      </c>
      <c r="C33" t="s">
        <v>128</v>
      </c>
      <c r="D33" t="str">
        <f t="shared" si="1"/>
        <v>Logistics</v>
      </c>
      <c r="E33" s="13">
        <v>7000</v>
      </c>
    </row>
    <row r="34" spans="1:5" x14ac:dyDescent="0.3">
      <c r="A34" s="3">
        <v>46050</v>
      </c>
      <c r="B34" t="str">
        <f t="shared" si="0"/>
        <v>Jan</v>
      </c>
      <c r="C34" t="s">
        <v>129</v>
      </c>
      <c r="D34" t="str">
        <f t="shared" si="1"/>
        <v>Operating</v>
      </c>
      <c r="E34" s="13">
        <v>3000</v>
      </c>
    </row>
    <row r="35" spans="1:5" x14ac:dyDescent="0.3">
      <c r="A35" s="3">
        <v>46050</v>
      </c>
      <c r="B35" t="str">
        <f t="shared" si="0"/>
        <v>Jan</v>
      </c>
      <c r="C35" t="s">
        <v>130</v>
      </c>
      <c r="D35" t="str">
        <f t="shared" si="1"/>
        <v>Operating</v>
      </c>
      <c r="E35" s="13">
        <v>10000</v>
      </c>
    </row>
    <row r="36" spans="1:5" x14ac:dyDescent="0.3">
      <c r="A36" s="3">
        <v>46050</v>
      </c>
      <c r="B36" t="str">
        <f t="shared" si="0"/>
        <v>Jan</v>
      </c>
      <c r="C36" t="s">
        <v>121</v>
      </c>
      <c r="D36" t="str">
        <f t="shared" si="1"/>
        <v>Misc</v>
      </c>
      <c r="E36" s="13">
        <v>5000</v>
      </c>
    </row>
    <row r="37" spans="1:5" x14ac:dyDescent="0.3">
      <c r="A37" s="3">
        <v>46050</v>
      </c>
      <c r="B37" t="str">
        <f t="shared" si="0"/>
        <v>Jan</v>
      </c>
      <c r="C37" t="s">
        <v>131</v>
      </c>
      <c r="D37" t="str">
        <f t="shared" si="1"/>
        <v>Misc</v>
      </c>
      <c r="E37" s="13">
        <v>6000</v>
      </c>
    </row>
    <row r="38" spans="1:5" x14ac:dyDescent="0.3">
      <c r="A38" s="3">
        <v>46051</v>
      </c>
      <c r="B38" t="str">
        <f t="shared" si="0"/>
        <v>Jan</v>
      </c>
      <c r="C38" t="s">
        <v>132</v>
      </c>
      <c r="D38" t="str">
        <f t="shared" si="1"/>
        <v>Misc</v>
      </c>
      <c r="E38" s="13">
        <v>2500</v>
      </c>
    </row>
    <row r="39" spans="1:5" x14ac:dyDescent="0.3">
      <c r="A39" s="3">
        <v>46052</v>
      </c>
      <c r="B39" t="str">
        <f t="shared" si="0"/>
        <v>Jan</v>
      </c>
      <c r="C39" t="s">
        <v>121</v>
      </c>
      <c r="D39" t="str">
        <f t="shared" si="1"/>
        <v>Misc</v>
      </c>
      <c r="E39" s="13">
        <v>8000</v>
      </c>
    </row>
    <row r="40" spans="1:5" x14ac:dyDescent="0.3">
      <c r="A40" s="3">
        <v>46052</v>
      </c>
      <c r="B40" t="str">
        <f t="shared" si="0"/>
        <v>Jan</v>
      </c>
      <c r="C40" t="s">
        <v>133</v>
      </c>
      <c r="D40" t="str">
        <f t="shared" si="1"/>
        <v>Misc</v>
      </c>
      <c r="E40" s="13">
        <v>10000</v>
      </c>
    </row>
    <row r="41" spans="1:5" x14ac:dyDescent="0.3">
      <c r="A41" s="3">
        <v>46052</v>
      </c>
      <c r="B41" t="str">
        <f t="shared" si="0"/>
        <v>Jan</v>
      </c>
      <c r="C41" t="s">
        <v>134</v>
      </c>
      <c r="D41" t="str">
        <f t="shared" si="1"/>
        <v>Logistics</v>
      </c>
      <c r="E41" s="13">
        <v>7000</v>
      </c>
    </row>
    <row r="42" spans="1:5" x14ac:dyDescent="0.3">
      <c r="A42" s="3">
        <v>46055</v>
      </c>
      <c r="B42" t="str">
        <f t="shared" si="0"/>
        <v>Feb</v>
      </c>
      <c r="C42" t="s">
        <v>135</v>
      </c>
      <c r="D42" t="str">
        <f t="shared" si="1"/>
        <v>Misc</v>
      </c>
      <c r="E42" s="13">
        <v>6000</v>
      </c>
    </row>
    <row r="43" spans="1:5" x14ac:dyDescent="0.3">
      <c r="A43" s="3">
        <v>46057</v>
      </c>
      <c r="B43" t="str">
        <f t="shared" si="0"/>
        <v>Feb</v>
      </c>
      <c r="C43" t="s">
        <v>136</v>
      </c>
      <c r="D43" t="str">
        <f t="shared" si="1"/>
        <v>Misc</v>
      </c>
      <c r="E43" s="13">
        <v>2000</v>
      </c>
    </row>
    <row r="44" spans="1:5" x14ac:dyDescent="0.3">
      <c r="A44" s="3">
        <v>46057</v>
      </c>
      <c r="B44" t="str">
        <f t="shared" si="0"/>
        <v>Feb</v>
      </c>
      <c r="C44" t="s">
        <v>120</v>
      </c>
      <c r="D44" t="str">
        <f t="shared" si="1"/>
        <v>Production</v>
      </c>
      <c r="E44" s="13">
        <v>10000</v>
      </c>
    </row>
    <row r="45" spans="1:5" x14ac:dyDescent="0.3">
      <c r="A45" s="3">
        <v>46057</v>
      </c>
      <c r="B45" t="str">
        <f t="shared" si="0"/>
        <v>Feb</v>
      </c>
      <c r="C45" t="s">
        <v>137</v>
      </c>
      <c r="D45" t="str">
        <f t="shared" si="1"/>
        <v>Logistics</v>
      </c>
      <c r="E45" s="13">
        <v>7000</v>
      </c>
    </row>
    <row r="46" spans="1:5" x14ac:dyDescent="0.3">
      <c r="A46" s="3">
        <v>46058</v>
      </c>
      <c r="B46" t="str">
        <f t="shared" si="0"/>
        <v>Feb</v>
      </c>
      <c r="C46" t="s">
        <v>121</v>
      </c>
      <c r="D46" t="str">
        <f t="shared" si="1"/>
        <v>Misc</v>
      </c>
      <c r="E46" s="13">
        <v>10000</v>
      </c>
    </row>
    <row r="47" spans="1:5" x14ac:dyDescent="0.3">
      <c r="A47" s="3">
        <v>46058</v>
      </c>
      <c r="B47" t="str">
        <f t="shared" si="0"/>
        <v>Feb</v>
      </c>
      <c r="C47" t="s">
        <v>138</v>
      </c>
      <c r="D47" t="str">
        <f t="shared" si="1"/>
        <v>Misc</v>
      </c>
      <c r="E47" s="13">
        <v>20000</v>
      </c>
    </row>
    <row r="48" spans="1:5" x14ac:dyDescent="0.3">
      <c r="A48" s="3">
        <v>46058</v>
      </c>
      <c r="B48" t="str">
        <f t="shared" si="0"/>
        <v>Feb</v>
      </c>
      <c r="C48" t="s">
        <v>107</v>
      </c>
      <c r="D48" t="str">
        <f t="shared" si="1"/>
        <v>Misc</v>
      </c>
      <c r="E48" s="13">
        <v>2000</v>
      </c>
    </row>
    <row r="49" spans="1:5" x14ac:dyDescent="0.3">
      <c r="A49" s="3">
        <v>46062</v>
      </c>
      <c r="B49" t="str">
        <f t="shared" si="0"/>
        <v>Feb</v>
      </c>
      <c r="C49" t="s">
        <v>139</v>
      </c>
      <c r="D49" t="str">
        <f t="shared" si="1"/>
        <v>Operating</v>
      </c>
      <c r="E49" s="13">
        <v>20000</v>
      </c>
    </row>
    <row r="50" spans="1:5" x14ac:dyDescent="0.3">
      <c r="A50" s="3">
        <v>46064</v>
      </c>
      <c r="B50" t="str">
        <f t="shared" si="0"/>
        <v>Feb</v>
      </c>
      <c r="C50" t="s">
        <v>140</v>
      </c>
      <c r="D50" t="str">
        <f t="shared" si="1"/>
        <v>Misc</v>
      </c>
      <c r="E50" s="13">
        <v>12000</v>
      </c>
    </row>
    <row r="51" spans="1:5" x14ac:dyDescent="0.3">
      <c r="A51" s="3">
        <v>46064</v>
      </c>
      <c r="B51" t="str">
        <f t="shared" si="0"/>
        <v>Feb</v>
      </c>
      <c r="C51" t="s">
        <v>141</v>
      </c>
      <c r="D51" t="str">
        <f t="shared" si="1"/>
        <v>Misc</v>
      </c>
      <c r="E51" s="13">
        <v>2000</v>
      </c>
    </row>
    <row r="52" spans="1:5" x14ac:dyDescent="0.3">
      <c r="A52" s="3">
        <v>46064</v>
      </c>
      <c r="B52" t="str">
        <f t="shared" si="0"/>
        <v>Feb</v>
      </c>
      <c r="C52" t="s">
        <v>142</v>
      </c>
      <c r="D52" t="str">
        <f t="shared" si="1"/>
        <v>Misc</v>
      </c>
      <c r="E52" s="13">
        <v>70000</v>
      </c>
    </row>
    <row r="53" spans="1:5" x14ac:dyDescent="0.3">
      <c r="A53" s="3">
        <v>46065</v>
      </c>
      <c r="B53" t="str">
        <f t="shared" si="0"/>
        <v>Feb</v>
      </c>
      <c r="C53" t="s">
        <v>143</v>
      </c>
      <c r="D53" t="str">
        <f t="shared" si="1"/>
        <v>Misc</v>
      </c>
      <c r="E53" s="13">
        <v>2000</v>
      </c>
    </row>
    <row r="54" spans="1:5" x14ac:dyDescent="0.3">
      <c r="A54" s="3">
        <v>46065</v>
      </c>
      <c r="B54" t="str">
        <f t="shared" si="0"/>
        <v>Feb</v>
      </c>
      <c r="C54" t="s">
        <v>144</v>
      </c>
      <c r="D54" t="str">
        <f t="shared" si="1"/>
        <v>Misc</v>
      </c>
      <c r="E54" s="13">
        <v>10000</v>
      </c>
    </row>
    <row r="55" spans="1:5" x14ac:dyDescent="0.3">
      <c r="A55" s="3">
        <v>46065</v>
      </c>
      <c r="B55" t="str">
        <f t="shared" si="0"/>
        <v>Feb</v>
      </c>
      <c r="C55" t="s">
        <v>142</v>
      </c>
      <c r="D55" t="str">
        <f t="shared" si="1"/>
        <v>Misc</v>
      </c>
      <c r="E55" s="13">
        <v>50000</v>
      </c>
    </row>
    <row r="56" spans="1:5" x14ac:dyDescent="0.3">
      <c r="A56" s="3">
        <v>46065</v>
      </c>
      <c r="B56" t="str">
        <f t="shared" si="0"/>
        <v>Feb</v>
      </c>
      <c r="C56" t="s">
        <v>107</v>
      </c>
      <c r="D56" t="str">
        <f t="shared" si="1"/>
        <v>Misc</v>
      </c>
      <c r="E56" s="13">
        <v>7500</v>
      </c>
    </row>
    <row r="57" spans="1:5" x14ac:dyDescent="0.3">
      <c r="A57" s="3">
        <v>46066</v>
      </c>
      <c r="B57" t="str">
        <f t="shared" si="0"/>
        <v>Feb</v>
      </c>
      <c r="C57" t="s">
        <v>145</v>
      </c>
      <c r="D57" t="str">
        <f t="shared" si="1"/>
        <v>Logistics</v>
      </c>
      <c r="E57" s="13">
        <v>1000</v>
      </c>
    </row>
    <row r="58" spans="1:5" x14ac:dyDescent="0.3">
      <c r="A58" s="3">
        <v>46067</v>
      </c>
      <c r="B58" t="str">
        <f t="shared" si="0"/>
        <v>Feb</v>
      </c>
      <c r="C58" t="s">
        <v>146</v>
      </c>
      <c r="D58" t="str">
        <f t="shared" si="1"/>
        <v>Misc</v>
      </c>
      <c r="E58" s="13">
        <v>33000</v>
      </c>
    </row>
    <row r="59" spans="1:5" x14ac:dyDescent="0.3">
      <c r="A59" s="3">
        <v>46067</v>
      </c>
      <c r="B59" t="str">
        <f t="shared" si="0"/>
        <v>Feb</v>
      </c>
      <c r="C59" t="s">
        <v>147</v>
      </c>
      <c r="D59" t="str">
        <f t="shared" si="1"/>
        <v>Misc</v>
      </c>
      <c r="E59" s="13">
        <v>10000</v>
      </c>
    </row>
    <row r="60" spans="1:5" x14ac:dyDescent="0.3">
      <c r="A60" s="3">
        <v>46067</v>
      </c>
      <c r="B60" t="str">
        <f t="shared" si="0"/>
        <v>Feb</v>
      </c>
      <c r="C60" t="s">
        <v>120</v>
      </c>
      <c r="D60" t="str">
        <f t="shared" si="1"/>
        <v>Production</v>
      </c>
      <c r="E60" s="13">
        <v>30000</v>
      </c>
    </row>
    <row r="61" spans="1:5" x14ac:dyDescent="0.3">
      <c r="A61" s="3">
        <v>46068</v>
      </c>
      <c r="B61" t="str">
        <f t="shared" si="0"/>
        <v>Feb</v>
      </c>
      <c r="C61" t="s">
        <v>148</v>
      </c>
      <c r="D61" t="str">
        <f t="shared" si="1"/>
        <v>Logistics</v>
      </c>
      <c r="E61" s="13">
        <v>10000</v>
      </c>
    </row>
    <row r="62" spans="1:5" x14ac:dyDescent="0.3">
      <c r="A62" s="3">
        <v>46069</v>
      </c>
      <c r="B62" t="str">
        <f t="shared" si="0"/>
        <v>Feb</v>
      </c>
      <c r="C62" t="s">
        <v>107</v>
      </c>
      <c r="D62" t="str">
        <f t="shared" si="1"/>
        <v>Misc</v>
      </c>
      <c r="E62" s="13">
        <v>7500</v>
      </c>
    </row>
    <row r="63" spans="1:5" x14ac:dyDescent="0.3">
      <c r="A63" s="3">
        <v>46069</v>
      </c>
      <c r="B63" t="str">
        <f t="shared" si="0"/>
        <v>Feb</v>
      </c>
      <c r="C63" t="s">
        <v>120</v>
      </c>
      <c r="D63" t="str">
        <f t="shared" si="1"/>
        <v>Production</v>
      </c>
      <c r="E63" s="13">
        <v>45000</v>
      </c>
    </row>
    <row r="64" spans="1:5" x14ac:dyDescent="0.3">
      <c r="A64" s="3">
        <v>46069</v>
      </c>
      <c r="B64" t="str">
        <f t="shared" si="0"/>
        <v>Feb</v>
      </c>
      <c r="C64" t="s">
        <v>149</v>
      </c>
      <c r="D64" t="str">
        <f t="shared" si="1"/>
        <v>Logistics</v>
      </c>
      <c r="E64" s="13">
        <v>12000</v>
      </c>
    </row>
    <row r="65" spans="1:5" x14ac:dyDescent="0.3">
      <c r="A65" s="3">
        <v>46070</v>
      </c>
      <c r="B65" t="str">
        <f t="shared" si="0"/>
        <v>Feb</v>
      </c>
      <c r="C65" t="s">
        <v>107</v>
      </c>
      <c r="D65" t="str">
        <f t="shared" si="1"/>
        <v>Misc</v>
      </c>
      <c r="E65" s="13">
        <v>3000</v>
      </c>
    </row>
    <row r="66" spans="1:5" x14ac:dyDescent="0.3">
      <c r="A66" s="3">
        <v>46071</v>
      </c>
      <c r="B66" t="str">
        <f t="shared" si="0"/>
        <v>Feb</v>
      </c>
      <c r="C66" t="s">
        <v>121</v>
      </c>
      <c r="D66" t="str">
        <f t="shared" si="1"/>
        <v>Misc</v>
      </c>
      <c r="E66" s="13">
        <v>6000</v>
      </c>
    </row>
    <row r="67" spans="1:5" x14ac:dyDescent="0.3">
      <c r="A67" s="3">
        <v>46071</v>
      </c>
      <c r="B67" t="str">
        <f t="shared" ref="B67:B110" si="2">TEXT(A67, "mmm")</f>
        <v>Feb</v>
      </c>
      <c r="C67" t="s">
        <v>148</v>
      </c>
      <c r="D67" t="str">
        <f t="shared" ref="D67:D108" si="3">IF(ISNUMBER(SEARCH("nauli",LOWER(C67))),"Logistics",
IF(ISNUMBER(SEARCH("lunch",LOWER(C67))),"Misc",
IF(OR(ISNUMBER(SEARCH("luku",LOWER(C67))),ISNUMBER(SEARCH("umeme",LOWER(C67)))),"Operating",
IF(ISNUMBER(SEARCH("boda",LOWER(C67))),"Logistics",
IF(ISNUMBER(SEARCH("abel",LOWER(C67))),"Logistics",
IF(ISNUMBER(SEARCH("toyo",LOWER(C67))),"Logistics",
IF(ISNUMBER(SEARCH("mary",LOWER(C67))),"Salaries",
IF(ISNUMBER(SEARCH("soap",LOWER(C67))),"Production",
IF(ISNUMBER(SEARCH("fragrance",LOWER(C67))),"Production",
IF(ISNUMBER(SEARCH("gohil",LOWER(C67))),"Production",
IF(ISNUMBER(SEARCH("formulator",LOWER(C67))),"Production",
IF(ISNUMBER(SEARCH("shea",LOWER(C67))),"Production",
IF(ISNUMBER(SEARCH("olive",LOWER(C67))),"Production",
IF(ISNUMBER(SEARCH("pack",LOWER(C67))),"Production",
IF(ISNUMBER(SEARCH("sticker",LOWER(C67))),"Production",
IF(ISNUMBER(SEARCH("ulinzi",LOWER(C67))),"Operating",
IF(ISNUMBER(SEARCH("taka",LOWER(C67))),"Operating",
IF(C67="TRA","Taxes",
IF(C67="AUWSA","Operating",
"Misc")))))))))))))))))))</f>
        <v>Logistics</v>
      </c>
      <c r="E67" s="13">
        <v>7000</v>
      </c>
    </row>
    <row r="68" spans="1:5" x14ac:dyDescent="0.3">
      <c r="A68" s="3">
        <v>46071</v>
      </c>
      <c r="B68" t="str">
        <f t="shared" si="2"/>
        <v>Feb</v>
      </c>
      <c r="C68" t="s">
        <v>150</v>
      </c>
      <c r="D68" t="str">
        <f t="shared" si="3"/>
        <v>Misc</v>
      </c>
      <c r="E68" s="13">
        <v>6000</v>
      </c>
    </row>
    <row r="69" spans="1:5" x14ac:dyDescent="0.3">
      <c r="A69" s="3">
        <v>46071</v>
      </c>
      <c r="B69" t="str">
        <f t="shared" si="2"/>
        <v>Feb</v>
      </c>
      <c r="C69" t="s">
        <v>141</v>
      </c>
      <c r="D69" t="str">
        <f t="shared" si="3"/>
        <v>Misc</v>
      </c>
      <c r="E69" s="13">
        <v>4000</v>
      </c>
    </row>
    <row r="70" spans="1:5" x14ac:dyDescent="0.3">
      <c r="A70" s="3">
        <v>46071</v>
      </c>
      <c r="B70" t="str">
        <f t="shared" si="2"/>
        <v>Feb</v>
      </c>
      <c r="C70" t="s">
        <v>124</v>
      </c>
      <c r="D70" t="str">
        <f t="shared" si="3"/>
        <v>Logistics</v>
      </c>
      <c r="E70" s="13">
        <v>16000</v>
      </c>
    </row>
    <row r="71" spans="1:5" x14ac:dyDescent="0.3">
      <c r="A71" s="3">
        <v>46071</v>
      </c>
      <c r="B71" t="str">
        <f t="shared" si="2"/>
        <v>Feb</v>
      </c>
      <c r="C71" t="s">
        <v>151</v>
      </c>
      <c r="D71" t="str">
        <f t="shared" si="3"/>
        <v>Misc</v>
      </c>
      <c r="E71" s="13">
        <v>4000</v>
      </c>
    </row>
    <row r="72" spans="1:5" x14ac:dyDescent="0.3">
      <c r="A72" s="3">
        <v>46076</v>
      </c>
      <c r="B72" t="str">
        <f t="shared" si="2"/>
        <v>Feb</v>
      </c>
      <c r="C72" t="s">
        <v>152</v>
      </c>
      <c r="D72" t="str">
        <f t="shared" si="3"/>
        <v>Misc</v>
      </c>
      <c r="E72" s="13">
        <v>10000</v>
      </c>
    </row>
    <row r="73" spans="1:5" x14ac:dyDescent="0.3">
      <c r="A73" s="3">
        <v>46076</v>
      </c>
      <c r="B73" t="str">
        <f t="shared" si="2"/>
        <v>Feb</v>
      </c>
      <c r="C73" t="s">
        <v>145</v>
      </c>
      <c r="D73" t="str">
        <f t="shared" si="3"/>
        <v>Logistics</v>
      </c>
      <c r="E73" s="13">
        <v>6000</v>
      </c>
    </row>
    <row r="74" spans="1:5" x14ac:dyDescent="0.3">
      <c r="A74" s="3">
        <v>46076</v>
      </c>
      <c r="B74" t="str">
        <f t="shared" si="2"/>
        <v>Feb</v>
      </c>
      <c r="C74" t="s">
        <v>142</v>
      </c>
      <c r="D74" t="str">
        <f t="shared" si="3"/>
        <v>Misc</v>
      </c>
      <c r="E74" s="13">
        <v>20000</v>
      </c>
    </row>
    <row r="75" spans="1:5" x14ac:dyDescent="0.3">
      <c r="A75" s="3">
        <v>46076</v>
      </c>
      <c r="B75" t="str">
        <f t="shared" si="2"/>
        <v>Feb</v>
      </c>
      <c r="C75" t="s">
        <v>147</v>
      </c>
      <c r="D75" t="str">
        <f t="shared" si="3"/>
        <v>Misc</v>
      </c>
      <c r="E75" s="13">
        <v>10000</v>
      </c>
    </row>
    <row r="76" spans="1:5" x14ac:dyDescent="0.3">
      <c r="A76" s="3">
        <v>46077</v>
      </c>
      <c r="B76" t="str">
        <f t="shared" si="2"/>
        <v>Feb</v>
      </c>
      <c r="C76" t="s">
        <v>107</v>
      </c>
      <c r="D76" t="str">
        <f t="shared" si="3"/>
        <v>Misc</v>
      </c>
      <c r="E76" s="13">
        <v>6000</v>
      </c>
    </row>
    <row r="77" spans="1:5" x14ac:dyDescent="0.3">
      <c r="A77" s="3">
        <v>46078</v>
      </c>
      <c r="B77" t="str">
        <f t="shared" si="2"/>
        <v>Feb</v>
      </c>
      <c r="C77" t="s">
        <v>124</v>
      </c>
      <c r="D77" t="str">
        <f t="shared" si="3"/>
        <v>Logistics</v>
      </c>
      <c r="E77" s="13">
        <v>17000</v>
      </c>
    </row>
    <row r="78" spans="1:5" x14ac:dyDescent="0.3">
      <c r="A78" s="3">
        <v>46079</v>
      </c>
      <c r="B78" t="str">
        <f t="shared" si="2"/>
        <v>Feb</v>
      </c>
      <c r="C78" t="s">
        <v>153</v>
      </c>
      <c r="D78" t="str">
        <f t="shared" si="3"/>
        <v>Misc</v>
      </c>
      <c r="E78" s="13">
        <v>20000</v>
      </c>
    </row>
    <row r="79" spans="1:5" x14ac:dyDescent="0.3">
      <c r="A79" s="3">
        <v>46079</v>
      </c>
      <c r="B79" t="str">
        <f t="shared" si="2"/>
        <v>Feb</v>
      </c>
      <c r="C79" t="s">
        <v>154</v>
      </c>
      <c r="D79" t="str">
        <f t="shared" si="3"/>
        <v>Misc</v>
      </c>
      <c r="E79" s="13">
        <v>10000</v>
      </c>
    </row>
    <row r="80" spans="1:5" x14ac:dyDescent="0.3">
      <c r="A80" s="3">
        <v>46079</v>
      </c>
      <c r="B80" t="str">
        <f t="shared" si="2"/>
        <v>Feb</v>
      </c>
      <c r="C80" t="s">
        <v>155</v>
      </c>
      <c r="D80" t="str">
        <f t="shared" si="3"/>
        <v>Misc</v>
      </c>
      <c r="E80" s="13">
        <v>65000</v>
      </c>
    </row>
    <row r="81" spans="1:5" x14ac:dyDescent="0.3">
      <c r="A81" s="3">
        <v>46079</v>
      </c>
      <c r="B81" t="str">
        <f t="shared" si="2"/>
        <v>Feb</v>
      </c>
      <c r="C81" t="s">
        <v>130</v>
      </c>
      <c r="D81" t="str">
        <f t="shared" si="3"/>
        <v>Operating</v>
      </c>
      <c r="E81" s="13">
        <v>10000</v>
      </c>
    </row>
    <row r="82" spans="1:5" x14ac:dyDescent="0.3">
      <c r="A82" s="3">
        <v>46079</v>
      </c>
      <c r="B82" t="str">
        <f t="shared" si="2"/>
        <v>Feb</v>
      </c>
      <c r="C82" t="s">
        <v>129</v>
      </c>
      <c r="D82" t="str">
        <f t="shared" si="3"/>
        <v>Operating</v>
      </c>
      <c r="E82" s="13">
        <v>3000</v>
      </c>
    </row>
    <row r="83" spans="1:5" x14ac:dyDescent="0.3">
      <c r="A83" s="3">
        <v>46079</v>
      </c>
      <c r="B83" t="str">
        <f t="shared" si="2"/>
        <v>Feb</v>
      </c>
      <c r="C83" t="s">
        <v>107</v>
      </c>
      <c r="D83" t="str">
        <f t="shared" si="3"/>
        <v>Misc</v>
      </c>
      <c r="E83" s="13">
        <v>2000</v>
      </c>
    </row>
    <row r="84" spans="1:5" x14ac:dyDescent="0.3">
      <c r="A84" s="3">
        <v>46080</v>
      </c>
      <c r="B84" t="str">
        <f t="shared" si="2"/>
        <v>Feb</v>
      </c>
      <c r="C84" t="s">
        <v>145</v>
      </c>
      <c r="D84" t="str">
        <f t="shared" si="3"/>
        <v>Logistics</v>
      </c>
      <c r="E84" s="13">
        <v>6000</v>
      </c>
    </row>
    <row r="85" spans="1:5" x14ac:dyDescent="0.3">
      <c r="A85" s="3">
        <v>46080</v>
      </c>
      <c r="B85" t="str">
        <f t="shared" si="2"/>
        <v>Feb</v>
      </c>
      <c r="C85" t="s">
        <v>156</v>
      </c>
      <c r="D85" t="str">
        <f t="shared" si="3"/>
        <v>Misc</v>
      </c>
      <c r="E85" s="13">
        <v>2000</v>
      </c>
    </row>
    <row r="86" spans="1:5" x14ac:dyDescent="0.3">
      <c r="A86" s="3">
        <v>46080</v>
      </c>
      <c r="B86" t="str">
        <f t="shared" si="2"/>
        <v>Feb</v>
      </c>
      <c r="C86" t="s">
        <v>124</v>
      </c>
      <c r="D86" t="str">
        <f t="shared" si="3"/>
        <v>Logistics</v>
      </c>
      <c r="E86" s="13">
        <v>11000</v>
      </c>
    </row>
    <row r="87" spans="1:5" x14ac:dyDescent="0.3">
      <c r="A87" s="3">
        <v>46080</v>
      </c>
      <c r="B87" t="str">
        <f t="shared" si="2"/>
        <v>Feb</v>
      </c>
      <c r="C87" t="s">
        <v>157</v>
      </c>
      <c r="D87" t="str">
        <f t="shared" si="3"/>
        <v>Misc</v>
      </c>
      <c r="E87" s="13">
        <v>150000</v>
      </c>
    </row>
    <row r="88" spans="1:5" x14ac:dyDescent="0.3">
      <c r="A88" s="3">
        <v>46080</v>
      </c>
      <c r="B88" t="str">
        <f t="shared" si="2"/>
        <v>Feb</v>
      </c>
      <c r="C88" t="s">
        <v>158</v>
      </c>
      <c r="D88" t="str">
        <f t="shared" si="3"/>
        <v>Misc</v>
      </c>
      <c r="E88" s="13">
        <v>50000</v>
      </c>
    </row>
    <row r="89" spans="1:5" x14ac:dyDescent="0.3">
      <c r="A89" s="3">
        <v>46081</v>
      </c>
      <c r="B89" t="str">
        <f t="shared" si="2"/>
        <v>Feb</v>
      </c>
      <c r="C89" t="s">
        <v>159</v>
      </c>
      <c r="D89" t="str">
        <f t="shared" si="3"/>
        <v>Misc</v>
      </c>
      <c r="E89" s="13">
        <v>10000</v>
      </c>
    </row>
    <row r="90" spans="1:5" x14ac:dyDescent="0.3">
      <c r="A90" s="3">
        <v>46085</v>
      </c>
      <c r="B90" t="str">
        <f t="shared" si="2"/>
        <v>Mar</v>
      </c>
      <c r="C90" t="s">
        <v>107</v>
      </c>
      <c r="D90" t="str">
        <f t="shared" si="3"/>
        <v>Misc</v>
      </c>
      <c r="E90" s="13">
        <v>8000</v>
      </c>
    </row>
    <row r="91" spans="1:5" x14ac:dyDescent="0.3">
      <c r="A91" s="3">
        <v>46085</v>
      </c>
      <c r="B91" t="str">
        <f t="shared" si="2"/>
        <v>Mar</v>
      </c>
      <c r="C91" t="s">
        <v>142</v>
      </c>
      <c r="D91" t="str">
        <f t="shared" si="3"/>
        <v>Misc</v>
      </c>
      <c r="E91" s="13">
        <v>50000</v>
      </c>
    </row>
    <row r="92" spans="1:5" x14ac:dyDescent="0.3">
      <c r="A92" s="3">
        <v>46087</v>
      </c>
      <c r="B92" t="str">
        <f t="shared" si="2"/>
        <v>Mar</v>
      </c>
      <c r="C92" t="s">
        <v>160</v>
      </c>
      <c r="D92" t="str">
        <f t="shared" si="3"/>
        <v>Misc</v>
      </c>
      <c r="E92" s="13">
        <v>3000</v>
      </c>
    </row>
    <row r="93" spans="1:5" x14ac:dyDescent="0.3">
      <c r="A93" s="3">
        <v>46087</v>
      </c>
      <c r="B93" t="str">
        <f t="shared" si="2"/>
        <v>Mar</v>
      </c>
      <c r="C93" t="s">
        <v>109</v>
      </c>
      <c r="D93" t="str">
        <f t="shared" si="3"/>
        <v>Misc</v>
      </c>
      <c r="E93" s="13">
        <v>10000</v>
      </c>
    </row>
    <row r="94" spans="1:5" x14ac:dyDescent="0.3">
      <c r="A94" s="3">
        <v>46087</v>
      </c>
      <c r="B94" t="str">
        <f t="shared" si="2"/>
        <v>Mar</v>
      </c>
      <c r="C94" t="s">
        <v>161</v>
      </c>
      <c r="D94" t="str">
        <f t="shared" si="3"/>
        <v>Production</v>
      </c>
      <c r="E94" s="13">
        <v>55000</v>
      </c>
    </row>
    <row r="95" spans="1:5" x14ac:dyDescent="0.3">
      <c r="A95" s="3">
        <v>46087</v>
      </c>
      <c r="B95" t="str">
        <f t="shared" si="2"/>
        <v>Mar</v>
      </c>
      <c r="C95" t="s">
        <v>162</v>
      </c>
      <c r="D95" t="str">
        <f t="shared" si="3"/>
        <v>Misc</v>
      </c>
      <c r="E95" s="13">
        <v>10000</v>
      </c>
    </row>
    <row r="96" spans="1:5" x14ac:dyDescent="0.3">
      <c r="A96" s="3">
        <v>46090</v>
      </c>
      <c r="B96" t="str">
        <f t="shared" si="2"/>
        <v>Mar</v>
      </c>
      <c r="C96" t="s">
        <v>148</v>
      </c>
      <c r="D96" t="str">
        <f t="shared" si="3"/>
        <v>Logistics</v>
      </c>
      <c r="E96" s="13">
        <v>10000</v>
      </c>
    </row>
    <row r="97" spans="1:5" x14ac:dyDescent="0.3">
      <c r="A97" s="3">
        <v>46090</v>
      </c>
      <c r="B97" t="str">
        <f t="shared" si="2"/>
        <v>Mar</v>
      </c>
      <c r="C97" t="s">
        <v>163</v>
      </c>
      <c r="D97" t="str">
        <f t="shared" si="3"/>
        <v>Misc</v>
      </c>
      <c r="E97" s="13">
        <v>10000</v>
      </c>
    </row>
    <row r="98" spans="1:5" x14ac:dyDescent="0.3">
      <c r="A98" s="3">
        <v>46088</v>
      </c>
      <c r="B98" t="str">
        <f t="shared" si="2"/>
        <v>Mar</v>
      </c>
      <c r="C98" t="s">
        <v>142</v>
      </c>
      <c r="D98" t="str">
        <f t="shared" si="3"/>
        <v>Misc</v>
      </c>
      <c r="E98" s="13">
        <v>100000</v>
      </c>
    </row>
    <row r="99" spans="1:5" x14ac:dyDescent="0.3">
      <c r="A99" s="3">
        <v>46088</v>
      </c>
      <c r="B99" t="str">
        <f t="shared" si="2"/>
        <v>Mar</v>
      </c>
      <c r="C99" t="s">
        <v>164</v>
      </c>
      <c r="D99" t="str">
        <f t="shared" si="3"/>
        <v>Misc</v>
      </c>
      <c r="E99" s="13">
        <v>20000</v>
      </c>
    </row>
    <row r="100" spans="1:5" x14ac:dyDescent="0.3">
      <c r="A100" s="3">
        <v>46088</v>
      </c>
      <c r="B100" t="str">
        <f t="shared" si="2"/>
        <v>Mar</v>
      </c>
      <c r="C100" t="s">
        <v>127</v>
      </c>
      <c r="D100" t="str">
        <f t="shared" si="3"/>
        <v>Misc</v>
      </c>
      <c r="E100" s="13">
        <v>6000</v>
      </c>
    </row>
    <row r="101" spans="1:5" x14ac:dyDescent="0.3">
      <c r="A101" s="3">
        <v>46091</v>
      </c>
      <c r="B101" t="str">
        <f t="shared" si="2"/>
        <v>Mar</v>
      </c>
      <c r="C101" t="s">
        <v>165</v>
      </c>
      <c r="D101" t="str">
        <f t="shared" si="3"/>
        <v>Misc</v>
      </c>
      <c r="E101" s="13">
        <v>5000</v>
      </c>
    </row>
    <row r="102" spans="1:5" x14ac:dyDescent="0.3">
      <c r="A102" s="3">
        <v>46091</v>
      </c>
      <c r="B102" t="str">
        <f t="shared" si="2"/>
        <v>Mar</v>
      </c>
      <c r="C102" t="s">
        <v>166</v>
      </c>
      <c r="D102" t="str">
        <f t="shared" si="3"/>
        <v>Misc</v>
      </c>
      <c r="E102" s="13">
        <v>50000</v>
      </c>
    </row>
    <row r="103" spans="1:5" x14ac:dyDescent="0.3">
      <c r="A103" s="3">
        <v>46092</v>
      </c>
      <c r="B103" t="str">
        <f t="shared" si="2"/>
        <v>Mar</v>
      </c>
      <c r="C103" t="s">
        <v>107</v>
      </c>
      <c r="D103" t="str">
        <f t="shared" si="3"/>
        <v>Misc</v>
      </c>
      <c r="E103" s="13">
        <v>5000</v>
      </c>
    </row>
    <row r="104" spans="1:5" x14ac:dyDescent="0.3">
      <c r="A104" s="3">
        <v>46092</v>
      </c>
      <c r="B104" t="str">
        <f t="shared" si="2"/>
        <v>Mar</v>
      </c>
      <c r="C104" t="s">
        <v>167</v>
      </c>
      <c r="D104" t="str">
        <f t="shared" si="3"/>
        <v>Taxes</v>
      </c>
      <c r="E104" s="13">
        <v>25000</v>
      </c>
    </row>
    <row r="105" spans="1:5" x14ac:dyDescent="0.3">
      <c r="A105" s="3">
        <v>46092</v>
      </c>
      <c r="B105" t="str">
        <f t="shared" si="2"/>
        <v>Mar</v>
      </c>
      <c r="C105" t="s">
        <v>107</v>
      </c>
      <c r="D105" t="str">
        <f t="shared" si="3"/>
        <v>Misc</v>
      </c>
      <c r="E105" s="13">
        <v>6000</v>
      </c>
    </row>
    <row r="106" spans="1:5" x14ac:dyDescent="0.3">
      <c r="A106" s="3">
        <v>46092</v>
      </c>
      <c r="B106" t="str">
        <f t="shared" si="2"/>
        <v>Mar</v>
      </c>
      <c r="C106" t="s">
        <v>120</v>
      </c>
      <c r="D106" t="str">
        <f t="shared" si="3"/>
        <v>Production</v>
      </c>
      <c r="E106" s="13">
        <v>60000</v>
      </c>
    </row>
    <row r="107" spans="1:5" x14ac:dyDescent="0.3">
      <c r="A107" s="3">
        <v>46092</v>
      </c>
      <c r="B107" t="str">
        <f t="shared" si="2"/>
        <v>Mar</v>
      </c>
      <c r="C107" t="s">
        <v>168</v>
      </c>
      <c r="D107" t="str">
        <f t="shared" si="3"/>
        <v>Operating</v>
      </c>
      <c r="E107" s="13">
        <v>35000</v>
      </c>
    </row>
    <row r="108" spans="1:5" x14ac:dyDescent="0.3">
      <c r="A108" s="3">
        <v>46097</v>
      </c>
      <c r="B108" t="str">
        <f t="shared" si="2"/>
        <v>Mar</v>
      </c>
      <c r="C108" t="s">
        <v>121</v>
      </c>
      <c r="D108" t="str">
        <f t="shared" si="3"/>
        <v>Misc</v>
      </c>
      <c r="E108" s="13">
        <v>11000</v>
      </c>
    </row>
    <row r="109" spans="1:5" x14ac:dyDescent="0.3">
      <c r="A109" s="23">
        <v>46097</v>
      </c>
      <c r="B109" t="str">
        <f t="shared" si="2"/>
        <v>Mar</v>
      </c>
    </row>
    <row r="110" spans="1:5" x14ac:dyDescent="0.3">
      <c r="A110" s="23">
        <v>46097</v>
      </c>
      <c r="B110" t="str">
        <f t="shared" si="2"/>
        <v>Mar</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03A7E-F567-4609-8CF2-4CCCCDF4F400}">
  <dimension ref="A1"/>
  <sheetViews>
    <sheetView showGridLines="0" showRowColHeaders="0" zoomScale="90" zoomScaleNormal="90" workbookViewId="0">
      <selection activeCell="F40" sqref="F4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A1C4-6B67-4BB0-9507-61968256EB68}">
  <dimension ref="A1"/>
  <sheetViews>
    <sheetView showGridLines="0" showRowColHeaders="0" topLeftCell="A9" workbookViewId="0">
      <selection activeCell="N37" sqref="N3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PriceTable</vt:lpstr>
      <vt:lpstr>Sales</vt:lpstr>
      <vt:lpstr>Q1SALES2026</vt:lpstr>
      <vt:lpstr>Pivot Tables</vt:lpstr>
      <vt:lpstr>Q1EXPENSES</vt:lpstr>
      <vt:lpstr>Dasboard</vt:lpstr>
      <vt:lpstr>Executive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kmarx@yahoo.com</dc:creator>
  <cp:lastModifiedBy>William Shelukindo</cp:lastModifiedBy>
  <dcterms:created xsi:type="dcterms:W3CDTF">2025-12-09T04:32:16Z</dcterms:created>
  <dcterms:modified xsi:type="dcterms:W3CDTF">2026-04-24T08:22:21Z</dcterms:modified>
</cp:coreProperties>
</file>